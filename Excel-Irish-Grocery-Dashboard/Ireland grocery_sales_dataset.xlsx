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karen/Documents/DATA analytics portfolio /"/>
    </mc:Choice>
  </mc:AlternateContent>
  <xr:revisionPtr revIDLastSave="0" documentId="13_ncr:1_{A1969737-2D8F-1846-B15D-765A76F9D5F0}" xr6:coauthVersionLast="47" xr6:coauthVersionMax="47" xr10:uidLastSave="{00000000-0000-0000-0000-000000000000}"/>
  <bookViews>
    <workbookView xWindow="6240" yWindow="1100" windowWidth="24100" windowHeight="15980" activeTab="2" xr2:uid="{00000000-000D-0000-FFFF-FFFF00000000}"/>
  </bookViews>
  <sheets>
    <sheet name="sales_data" sheetId="1" r:id="rId1"/>
    <sheet name="pivot table" sheetId="3" r:id="rId2"/>
    <sheet name="Dashboard" sheetId="4" r:id="rId3"/>
  </sheets>
  <definedNames>
    <definedName name="Slicer_Category">#N/A</definedName>
    <definedName name="Slicer_City">#N/A</definedName>
    <definedName name="Slicer_Product">#N/A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C4" i="4"/>
  <c r="B4" i="4"/>
  <c r="A4" i="4"/>
</calcChain>
</file>

<file path=xl/sharedStrings.xml><?xml version="1.0" encoding="utf-8"?>
<sst xmlns="http://schemas.openxmlformats.org/spreadsheetml/2006/main" count="2628" uniqueCount="219">
  <si>
    <t>Order_ID</t>
  </si>
  <si>
    <t>Date</t>
  </si>
  <si>
    <t>City</t>
  </si>
  <si>
    <t>Product</t>
  </si>
  <si>
    <t>Category</t>
  </si>
  <si>
    <t>Quantity</t>
  </si>
  <si>
    <t>Price</t>
  </si>
  <si>
    <t>Revenue</t>
  </si>
  <si>
    <t>2024-06-25</t>
  </si>
  <si>
    <t>Dublin</t>
  </si>
  <si>
    <t>Orange Juice</t>
  </si>
  <si>
    <t>Beverages</t>
  </si>
  <si>
    <t>2024-03-03</t>
  </si>
  <si>
    <t>Galway</t>
  </si>
  <si>
    <t>Bread</t>
  </si>
  <si>
    <t>Bakery</t>
  </si>
  <si>
    <t>2024-04-13</t>
  </si>
  <si>
    <t>Milk</t>
  </si>
  <si>
    <t>Dairy</t>
  </si>
  <si>
    <t>2024-06-10</t>
  </si>
  <si>
    <t>2024-03-07</t>
  </si>
  <si>
    <t>Detergent</t>
  </si>
  <si>
    <t>Household</t>
  </si>
  <si>
    <t>2024-02-20</t>
  </si>
  <si>
    <t>Cork</t>
  </si>
  <si>
    <t>Croissant</t>
  </si>
  <si>
    <t>2024-05-08</t>
  </si>
  <si>
    <t>2024-06-02</t>
  </si>
  <si>
    <t>Limerick</t>
  </si>
  <si>
    <t>Paper Towels</t>
  </si>
  <si>
    <t>2024-03-13</t>
  </si>
  <si>
    <t>Apples</t>
  </si>
  <si>
    <t>Groceries</t>
  </si>
  <si>
    <t>2024-04-28</t>
  </si>
  <si>
    <t>Cola</t>
  </si>
  <si>
    <t>2024-05-09</t>
  </si>
  <si>
    <t>2024-06-23</t>
  </si>
  <si>
    <t>2024-01-23</t>
  </si>
  <si>
    <t>2024-01-18</t>
  </si>
  <si>
    <t>2024-02-18</t>
  </si>
  <si>
    <t>2024-06-12</t>
  </si>
  <si>
    <t>2024-05-01</t>
  </si>
  <si>
    <t>2024-03-08</t>
  </si>
  <si>
    <t>Cheese</t>
  </si>
  <si>
    <t>2024-05-25</t>
  </si>
  <si>
    <t>2024-02-13</t>
  </si>
  <si>
    <t>2024-02-27</t>
  </si>
  <si>
    <t>Pasta</t>
  </si>
  <si>
    <t>2024-04-21</t>
  </si>
  <si>
    <t>2024-01-30</t>
  </si>
  <si>
    <t>2024-03-30</t>
  </si>
  <si>
    <t>2024-05-14</t>
  </si>
  <si>
    <t>2024-02-16</t>
  </si>
  <si>
    <t>2024-04-24</t>
  </si>
  <si>
    <t>2024-06-01</t>
  </si>
  <si>
    <t>2024-03-14</t>
  </si>
  <si>
    <t>2024-04-10</t>
  </si>
  <si>
    <t>2024-01-31</t>
  </si>
  <si>
    <t>2024-05-13</t>
  </si>
  <si>
    <t>2024-03-04</t>
  </si>
  <si>
    <t>2024-05-12</t>
  </si>
  <si>
    <t>2024-03-16</t>
  </si>
  <si>
    <t>2024-05-10</t>
  </si>
  <si>
    <t>2024-01-17</t>
  </si>
  <si>
    <t>2024-05-07</t>
  </si>
  <si>
    <t>2024-06-19</t>
  </si>
  <si>
    <t>2024-01-07</t>
  </si>
  <si>
    <t>2024-03-22</t>
  </si>
  <si>
    <t>2024-01-08</t>
  </si>
  <si>
    <t>2024-05-03</t>
  </si>
  <si>
    <t>2024-04-22</t>
  </si>
  <si>
    <t>2024-06-29</t>
  </si>
  <si>
    <t>2024-04-04</t>
  </si>
  <si>
    <t>2024-02-12</t>
  </si>
  <si>
    <t>2024-03-21</t>
  </si>
  <si>
    <t>2024-03-09</t>
  </si>
  <si>
    <t>2024-03-10</t>
  </si>
  <si>
    <t>2024-06-11</t>
  </si>
  <si>
    <t>2024-01-04</t>
  </si>
  <si>
    <t>2024-04-20</t>
  </si>
  <si>
    <t>2024-05-23</t>
  </si>
  <si>
    <t>2024-04-11</t>
  </si>
  <si>
    <t>2024-04-23</t>
  </si>
  <si>
    <t>2024-01-22</t>
  </si>
  <si>
    <t>2024-03-15</t>
  </si>
  <si>
    <t>2024-04-03</t>
  </si>
  <si>
    <t>2024-06-20</t>
  </si>
  <si>
    <t>2024-02-08</t>
  </si>
  <si>
    <t>2024-01-12</t>
  </si>
  <si>
    <t>2024-05-02</t>
  </si>
  <si>
    <t>2024-04-15</t>
  </si>
  <si>
    <t>2024-02-04</t>
  </si>
  <si>
    <t>2024-05-28</t>
  </si>
  <si>
    <t>2024-04-09</t>
  </si>
  <si>
    <t>2024-02-02</t>
  </si>
  <si>
    <t>2024-06-18</t>
  </si>
  <si>
    <t>2024-03-28</t>
  </si>
  <si>
    <t>2024-01-24</t>
  </si>
  <si>
    <t>2024-03-11</t>
  </si>
  <si>
    <t>2024-01-21</t>
  </si>
  <si>
    <t>2024-04-14</t>
  </si>
  <si>
    <t>2024-05-21</t>
  </si>
  <si>
    <t>2024-06-17</t>
  </si>
  <si>
    <t>2024-02-28</t>
  </si>
  <si>
    <t>2024-01-26</t>
  </si>
  <si>
    <t>2024-05-27</t>
  </si>
  <si>
    <t>2024-03-26</t>
  </si>
  <si>
    <t>2024-05-29</t>
  </si>
  <si>
    <t>2024-01-19</t>
  </si>
  <si>
    <t>2024-01-11</t>
  </si>
  <si>
    <t>2024-06-09</t>
  </si>
  <si>
    <t>2024-02-07</t>
  </si>
  <si>
    <t>2024-04-06</t>
  </si>
  <si>
    <t>2024-05-17</t>
  </si>
  <si>
    <t>2024-04-01</t>
  </si>
  <si>
    <t>2024-01-03</t>
  </si>
  <si>
    <t>2024-03-05</t>
  </si>
  <si>
    <t>2024-01-10</t>
  </si>
  <si>
    <t>2024-01-25</t>
  </si>
  <si>
    <t>2024-02-25</t>
  </si>
  <si>
    <t>2024-02-22</t>
  </si>
  <si>
    <t>2024-06-07</t>
  </si>
  <si>
    <t>2024-05-11</t>
  </si>
  <si>
    <t>2024-05-20</t>
  </si>
  <si>
    <t>2024-05-05</t>
  </si>
  <si>
    <t>2024-03-02</t>
  </si>
  <si>
    <t>2024-02-15</t>
  </si>
  <si>
    <t>2024-05-04</t>
  </si>
  <si>
    <t>2024-04-17</t>
  </si>
  <si>
    <t>2024-04-25</t>
  </si>
  <si>
    <t>2024-06-21</t>
  </si>
  <si>
    <t>2024-01-14</t>
  </si>
  <si>
    <t>2024-03-06</t>
  </si>
  <si>
    <t>2024-06-26</t>
  </si>
  <si>
    <t>2024-01-06</t>
  </si>
  <si>
    <t>2024-02-10</t>
  </si>
  <si>
    <t>2024-05-15</t>
  </si>
  <si>
    <t>2024-05-31</t>
  </si>
  <si>
    <t>2024-01-15</t>
  </si>
  <si>
    <t>2024-05-26</t>
  </si>
  <si>
    <t>2024-03-24</t>
  </si>
  <si>
    <t>2024-01-01</t>
  </si>
  <si>
    <t>2024-02-05</t>
  </si>
  <si>
    <t>2024-01-29</t>
  </si>
  <si>
    <t>2024-04-07</t>
  </si>
  <si>
    <t>2024-01-02</t>
  </si>
  <si>
    <t>2024-05-18</t>
  </si>
  <si>
    <t>2024-06-22</t>
  </si>
  <si>
    <t>2024-04-05</t>
  </si>
  <si>
    <t>2024-02-09</t>
  </si>
  <si>
    <t>2024-05-24</t>
  </si>
  <si>
    <t>2024-01-13</t>
  </si>
  <si>
    <t>2024-02-23</t>
  </si>
  <si>
    <t>2024-03-25</t>
  </si>
  <si>
    <t>2024-02-21</t>
  </si>
  <si>
    <t>2024-06-13</t>
  </si>
  <si>
    <t>2024-03-18</t>
  </si>
  <si>
    <t>2024-02-11</t>
  </si>
  <si>
    <t>2024-05-30</t>
  </si>
  <si>
    <t>2024-04-16</t>
  </si>
  <si>
    <t>2024-06-14</t>
  </si>
  <si>
    <t>2024-01-20</t>
  </si>
  <si>
    <t>2024-02-29</t>
  </si>
  <si>
    <t>2024-02-06</t>
  </si>
  <si>
    <t>2024-06-08</t>
  </si>
  <si>
    <t>2024-06-05</t>
  </si>
  <si>
    <t>2024-01-16</t>
  </si>
  <si>
    <t>2024-03-20</t>
  </si>
  <si>
    <t>2024-04-29</t>
  </si>
  <si>
    <t>2024-03-12</t>
  </si>
  <si>
    <t>2024-04-27</t>
  </si>
  <si>
    <t>2024-04-26</t>
  </si>
  <si>
    <t>2024-03-27</t>
  </si>
  <si>
    <t>2024-01-09</t>
  </si>
  <si>
    <t>2024-04-30</t>
  </si>
  <si>
    <t>2024-03-23</t>
  </si>
  <si>
    <t>2024-03-19</t>
  </si>
  <si>
    <t>2024-06-06</t>
  </si>
  <si>
    <t>2024-03-29</t>
  </si>
  <si>
    <t>2024-02-26</t>
  </si>
  <si>
    <t>2024-04-08</t>
  </si>
  <si>
    <t>2024-06-03</t>
  </si>
  <si>
    <t>2024-06-27</t>
  </si>
  <si>
    <t>2024-01-27</t>
  </si>
  <si>
    <t>2024-05-19</t>
  </si>
  <si>
    <t>2024-03-17</t>
  </si>
  <si>
    <t>2024-02-24</t>
  </si>
  <si>
    <t>2024-05-06</t>
  </si>
  <si>
    <t>2024-03-31</t>
  </si>
  <si>
    <t>2024-02-17</t>
  </si>
  <si>
    <t>2024-04-12</t>
  </si>
  <si>
    <t>2024-04-02</t>
  </si>
  <si>
    <t>2024-06-28</t>
  </si>
  <si>
    <t>2024-02-01</t>
  </si>
  <si>
    <t>2024-01-28</t>
  </si>
  <si>
    <t>2024-02-03</t>
  </si>
  <si>
    <t>2024-05-22</t>
  </si>
  <si>
    <t>2024-02-14</t>
  </si>
  <si>
    <t>2024-03-01</t>
  </si>
  <si>
    <t>2024-06-24</t>
  </si>
  <si>
    <t>2024-01-05</t>
  </si>
  <si>
    <t>2024-06-15</t>
  </si>
  <si>
    <t>Row Labels</t>
  </si>
  <si>
    <t>Grand Total</t>
  </si>
  <si>
    <t>Sum of Revenue</t>
  </si>
  <si>
    <t>Pivot Table 1 - Revenue by City</t>
  </si>
  <si>
    <t>Pivot Table 2 - Revenue by Category</t>
  </si>
  <si>
    <t>Pivot Table 3 - Monthly Revenue</t>
  </si>
  <si>
    <t>Pivot Table 4 - Top Products</t>
  </si>
  <si>
    <t>s</t>
  </si>
  <si>
    <t>Total Revenue</t>
  </si>
  <si>
    <t>KPI 1 - Total Revenue</t>
  </si>
  <si>
    <t>KPI 2 - Total Orders</t>
  </si>
  <si>
    <t>Total Orders</t>
  </si>
  <si>
    <t>KPI 3 - Average Order Value</t>
  </si>
  <si>
    <t>Average Order Value</t>
  </si>
  <si>
    <t>KPI 4 - Total Products Sold</t>
  </si>
  <si>
    <t>Total Units Sold</t>
  </si>
  <si>
    <t>Irish Grocery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</si>
</sst>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color theme="1"/>
      <name val="Calibri"/>
      <family val="2"/>
      <scheme val="minor"/>
    </font>
    <font>
      <b/>
      <sz val="22"/>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 fillId="0" borderId="0" xfId="0" applyFont="1"/>
    <xf numFmtId="0" fontId="2" fillId="0" borderId="0" xfId="0" applyFont="1"/>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sz="1400" b="0" i="0" u="none" strike="noStrike" baseline="0"/>
              <a:t>Top Products by Revenue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Apples</c:v>
              </c:pt>
              <c:pt idx="1">
                <c:v>Bread</c:v>
              </c:pt>
              <c:pt idx="2">
                <c:v>Cheese</c:v>
              </c:pt>
              <c:pt idx="3">
                <c:v>Cola</c:v>
              </c:pt>
              <c:pt idx="4">
                <c:v>Croissant</c:v>
              </c:pt>
              <c:pt idx="5">
                <c:v>Detergent</c:v>
              </c:pt>
              <c:pt idx="6">
                <c:v>Milk</c:v>
              </c:pt>
              <c:pt idx="7">
                <c:v>Orange Juice</c:v>
              </c:pt>
              <c:pt idx="8">
                <c:v>Paper Towels</c:v>
              </c:pt>
              <c:pt idx="9">
                <c:v>Pasta</c:v>
              </c:pt>
            </c:strLit>
          </c:cat>
          <c:val>
            <c:numLit>
              <c:formatCode>General</c:formatCode>
              <c:ptCount val="10"/>
              <c:pt idx="0">
                <c:v>627</c:v>
              </c:pt>
              <c:pt idx="1">
                <c:v>406</c:v>
              </c:pt>
              <c:pt idx="2">
                <c:v>756.2</c:v>
              </c:pt>
              <c:pt idx="3">
                <c:v>438.90000000000003</c:v>
              </c:pt>
              <c:pt idx="4">
                <c:v>672.3</c:v>
              </c:pt>
              <c:pt idx="5">
                <c:v>1137.5</c:v>
              </c:pt>
              <c:pt idx="6">
                <c:v>542.5</c:v>
              </c:pt>
              <c:pt idx="7">
                <c:v>764.8000000000003</c:v>
              </c:pt>
              <c:pt idx="8">
                <c:v>974.40000000000009</c:v>
              </c:pt>
              <c:pt idx="9">
                <c:v>479.99999999999983</c:v>
              </c:pt>
            </c:numLit>
          </c:val>
          <c:extLst>
            <c:ext xmlns:c16="http://schemas.microsoft.com/office/drawing/2014/chart" uri="{C3380CC4-5D6E-409C-BE32-E72D297353CC}">
              <c16:uniqueId val="{00000000-C8FA-E941-B6E8-1DCF9023A228}"/>
            </c:ext>
          </c:extLst>
        </c:ser>
        <c:dLbls>
          <c:showLegendKey val="0"/>
          <c:showVal val="0"/>
          <c:showCatName val="0"/>
          <c:showSerName val="0"/>
          <c:showPercent val="0"/>
          <c:showBubbleSize val="0"/>
        </c:dLbls>
        <c:gapWidth val="219"/>
        <c:overlap val="-27"/>
        <c:axId val="233108448"/>
        <c:axId val="233593504"/>
      </c:barChart>
      <c:catAx>
        <c:axId val="23310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93504"/>
        <c:crosses val="autoZero"/>
        <c:auto val="1"/>
        <c:lblAlgn val="ctr"/>
        <c:lblOffset val="100"/>
        <c:noMultiLvlLbl val="0"/>
      </c:catAx>
      <c:valAx>
        <c:axId val="23359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0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[Ireland grocery_sales_dataset.xlsx]pivot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Cork</c:v>
                </c:pt>
                <c:pt idx="1">
                  <c:v>Dublin</c:v>
                </c:pt>
                <c:pt idx="2">
                  <c:v>Galway</c:v>
                </c:pt>
                <c:pt idx="3">
                  <c:v>Limerick</c:v>
                </c:pt>
              </c:strCache>
            </c:strRef>
          </c:cat>
          <c:val>
            <c:numRef>
              <c:f>'pivot table'!$B$4:$B$8</c:f>
              <c:numCache>
                <c:formatCode>General</c:formatCode>
                <c:ptCount val="4"/>
                <c:pt idx="0">
                  <c:v>1785.8999999999999</c:v>
                </c:pt>
                <c:pt idx="1">
                  <c:v>1685.8000000000004</c:v>
                </c:pt>
                <c:pt idx="2">
                  <c:v>1616.5000000000002</c:v>
                </c:pt>
                <c:pt idx="3">
                  <c:v>1711.3999999999996</c:v>
                </c:pt>
              </c:numCache>
            </c:numRef>
          </c:val>
          <c:extLst>
            <c:ext xmlns:c16="http://schemas.microsoft.com/office/drawing/2014/chart" uri="{C3380CC4-5D6E-409C-BE32-E72D297353CC}">
              <c16:uniqueId val="{00000000-9FD6-F44C-B461-C77A879D7911}"/>
            </c:ext>
          </c:extLst>
        </c:ser>
        <c:dLbls>
          <c:showLegendKey val="0"/>
          <c:showVal val="0"/>
          <c:showCatName val="0"/>
          <c:showSerName val="0"/>
          <c:showPercent val="0"/>
          <c:showBubbleSize val="0"/>
        </c:dLbls>
        <c:gapWidth val="219"/>
        <c:overlap val="-27"/>
        <c:axId val="224977552"/>
        <c:axId val="226540320"/>
      </c:barChart>
      <c:catAx>
        <c:axId val="2249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540320"/>
        <c:crosses val="autoZero"/>
        <c:auto val="1"/>
        <c:lblAlgn val="ctr"/>
        <c:lblOffset val="100"/>
        <c:noMultiLvlLbl val="0"/>
      </c:catAx>
      <c:valAx>
        <c:axId val="22654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97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E21A-9247-83CE-88CBECE96EDB}"/>
              </c:ext>
            </c:extLst>
          </c:dPt>
          <c:dPt>
            <c:idx val="1"/>
            <c:bubble3D val="0"/>
            <c:spPr>
              <a:solidFill>
                <a:schemeClr val="accent2"/>
              </a:solidFill>
              <a:ln>
                <a:noFill/>
              </a:ln>
              <a:effectLst/>
            </c:spPr>
            <c:extLst>
              <c:ext xmlns:c16="http://schemas.microsoft.com/office/drawing/2014/chart" uri="{C3380CC4-5D6E-409C-BE32-E72D297353CC}">
                <c16:uniqueId val="{00000003-E21A-9247-83CE-88CBECE96EDB}"/>
              </c:ext>
            </c:extLst>
          </c:dPt>
          <c:dPt>
            <c:idx val="2"/>
            <c:bubble3D val="0"/>
            <c:spPr>
              <a:solidFill>
                <a:schemeClr val="accent3"/>
              </a:solidFill>
              <a:ln>
                <a:noFill/>
              </a:ln>
              <a:effectLst/>
            </c:spPr>
            <c:extLst>
              <c:ext xmlns:c16="http://schemas.microsoft.com/office/drawing/2014/chart" uri="{C3380CC4-5D6E-409C-BE32-E72D297353CC}">
                <c16:uniqueId val="{00000005-E21A-9247-83CE-88CBECE96EDB}"/>
              </c:ext>
            </c:extLst>
          </c:dPt>
          <c:dPt>
            <c:idx val="3"/>
            <c:bubble3D val="0"/>
            <c:spPr>
              <a:solidFill>
                <a:schemeClr val="accent4"/>
              </a:solidFill>
              <a:ln>
                <a:noFill/>
              </a:ln>
              <a:effectLst/>
            </c:spPr>
            <c:extLst>
              <c:ext xmlns:c16="http://schemas.microsoft.com/office/drawing/2014/chart" uri="{C3380CC4-5D6E-409C-BE32-E72D297353CC}">
                <c16:uniqueId val="{00000007-E21A-9247-83CE-88CBECE96EDB}"/>
              </c:ext>
            </c:extLst>
          </c:dPt>
          <c:dPt>
            <c:idx val="4"/>
            <c:bubble3D val="0"/>
            <c:spPr>
              <a:solidFill>
                <a:schemeClr val="accent5"/>
              </a:solidFill>
              <a:ln>
                <a:noFill/>
              </a:ln>
              <a:effectLst/>
            </c:spPr>
            <c:extLst>
              <c:ext xmlns:c16="http://schemas.microsoft.com/office/drawing/2014/chart" uri="{C3380CC4-5D6E-409C-BE32-E72D297353CC}">
                <c16:uniqueId val="{00000009-E21A-9247-83CE-88CBECE96EDB}"/>
              </c:ext>
            </c:extLst>
          </c:dPt>
          <c:cat>
            <c:strLit>
              <c:ptCount val="5"/>
              <c:pt idx="0">
                <c:v>Bakery</c:v>
              </c:pt>
              <c:pt idx="1">
                <c:v>Beverages</c:v>
              </c:pt>
              <c:pt idx="2">
                <c:v>Dairy</c:v>
              </c:pt>
              <c:pt idx="3">
                <c:v>Groceries</c:v>
              </c:pt>
              <c:pt idx="4">
                <c:v>Household</c:v>
              </c:pt>
            </c:strLit>
          </c:cat>
          <c:val>
            <c:numLit>
              <c:formatCode>General</c:formatCode>
              <c:ptCount val="5"/>
              <c:pt idx="0">
                <c:v>1078.3000000000002</c:v>
              </c:pt>
              <c:pt idx="1">
                <c:v>1203.7000000000005</c:v>
              </c:pt>
              <c:pt idx="2">
                <c:v>1298.7</c:v>
              </c:pt>
              <c:pt idx="3">
                <c:v>1107</c:v>
              </c:pt>
              <c:pt idx="4">
                <c:v>2111.8999999999996</c:v>
              </c:pt>
            </c:numLit>
          </c:val>
          <c:extLst>
            <c:ext xmlns:c16="http://schemas.microsoft.com/office/drawing/2014/chart" uri="{C3380CC4-5D6E-409C-BE32-E72D297353CC}">
              <c16:uniqueId val="{0000000A-E21A-9247-83CE-88CBECE96E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[Ireland grocery_sales_dataset.xlsx]pivot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c:f>
              <c:strCache>
                <c:ptCount val="1"/>
                <c:pt idx="0">
                  <c:v>Total</c:v>
                </c:pt>
              </c:strCache>
            </c:strRef>
          </c:tx>
          <c:spPr>
            <a:ln w="28575" cap="rnd">
              <a:solidFill>
                <a:schemeClr val="accent1"/>
              </a:solidFill>
              <a:round/>
            </a:ln>
            <a:effectLst/>
          </c:spPr>
          <c:marker>
            <c:symbol val="none"/>
          </c:marker>
          <c:cat>
            <c:strRef>
              <c:f>'pivot table'!$A$14:$A$189</c:f>
              <c:strCache>
                <c:ptCount val="175"/>
                <c:pt idx="0">
                  <c:v>2024-05-08</c:v>
                </c:pt>
                <c:pt idx="1">
                  <c:v>2024-04-24</c:v>
                </c:pt>
                <c:pt idx="2">
                  <c:v>2024-01-01</c:v>
                </c:pt>
                <c:pt idx="3">
                  <c:v>2024-06-11</c:v>
                </c:pt>
                <c:pt idx="4">
                  <c:v>2024-01-23</c:v>
                </c:pt>
                <c:pt idx="5">
                  <c:v>2024-04-22</c:v>
                </c:pt>
                <c:pt idx="6">
                  <c:v>2024-05-03</c:v>
                </c:pt>
                <c:pt idx="7">
                  <c:v>2024-01-21</c:v>
                </c:pt>
                <c:pt idx="8">
                  <c:v>2024-06-02</c:v>
                </c:pt>
                <c:pt idx="9">
                  <c:v>2024-04-13</c:v>
                </c:pt>
                <c:pt idx="10">
                  <c:v>2024-06-12</c:v>
                </c:pt>
                <c:pt idx="11">
                  <c:v>2024-01-06</c:v>
                </c:pt>
                <c:pt idx="12">
                  <c:v>2024-04-14</c:v>
                </c:pt>
                <c:pt idx="13">
                  <c:v>2024-03-26</c:v>
                </c:pt>
                <c:pt idx="14">
                  <c:v>2024-04-03</c:v>
                </c:pt>
                <c:pt idx="15">
                  <c:v>2024-01-10</c:v>
                </c:pt>
                <c:pt idx="16">
                  <c:v>2024-05-26</c:v>
                </c:pt>
                <c:pt idx="17">
                  <c:v>2024-04-11</c:v>
                </c:pt>
                <c:pt idx="18">
                  <c:v>2024-01-12</c:v>
                </c:pt>
                <c:pt idx="19">
                  <c:v>2024-04-09</c:v>
                </c:pt>
                <c:pt idx="20">
                  <c:v>2024-06-13</c:v>
                </c:pt>
                <c:pt idx="21">
                  <c:v>2024-06-25</c:v>
                </c:pt>
                <c:pt idx="22">
                  <c:v>2024-04-20</c:v>
                </c:pt>
                <c:pt idx="23">
                  <c:v>2024-01-25</c:v>
                </c:pt>
                <c:pt idx="24">
                  <c:v>2024-03-21</c:v>
                </c:pt>
                <c:pt idx="25">
                  <c:v>2024-06-08</c:v>
                </c:pt>
                <c:pt idx="26">
                  <c:v>2024-06-07</c:v>
                </c:pt>
                <c:pt idx="27">
                  <c:v>2024-02-29</c:v>
                </c:pt>
                <c:pt idx="28">
                  <c:v>2024-06-06</c:v>
                </c:pt>
                <c:pt idx="29">
                  <c:v>2024-05-09</c:v>
                </c:pt>
                <c:pt idx="30">
                  <c:v>2024-03-19</c:v>
                </c:pt>
                <c:pt idx="31">
                  <c:v>2024-02-05</c:v>
                </c:pt>
                <c:pt idx="32">
                  <c:v>2024-05-12</c:v>
                </c:pt>
                <c:pt idx="33">
                  <c:v>2024-04-04</c:v>
                </c:pt>
                <c:pt idx="34">
                  <c:v>2024-06-20</c:v>
                </c:pt>
                <c:pt idx="35">
                  <c:v>2024-03-25</c:v>
                </c:pt>
                <c:pt idx="36">
                  <c:v>2024-03-16</c:v>
                </c:pt>
                <c:pt idx="37">
                  <c:v>2024-02-07</c:v>
                </c:pt>
                <c:pt idx="38">
                  <c:v>2024-06-19</c:v>
                </c:pt>
                <c:pt idx="39">
                  <c:v>2024-02-25</c:v>
                </c:pt>
                <c:pt idx="40">
                  <c:v>2024-01-30</c:v>
                </c:pt>
                <c:pt idx="41">
                  <c:v>2024-01-16</c:v>
                </c:pt>
                <c:pt idx="42">
                  <c:v>2024-05-30</c:v>
                </c:pt>
                <c:pt idx="43">
                  <c:v>2024-02-12</c:v>
                </c:pt>
                <c:pt idx="44">
                  <c:v>2024-05-31</c:v>
                </c:pt>
                <c:pt idx="45">
                  <c:v>2024-01-19</c:v>
                </c:pt>
                <c:pt idx="46">
                  <c:v>2024-05-15</c:v>
                </c:pt>
                <c:pt idx="47">
                  <c:v>2024-06-23</c:v>
                </c:pt>
                <c:pt idx="48">
                  <c:v>2024-05-02</c:v>
                </c:pt>
                <c:pt idx="49">
                  <c:v>2024-03-18</c:v>
                </c:pt>
                <c:pt idx="50">
                  <c:v>2024-05-20</c:v>
                </c:pt>
                <c:pt idx="51">
                  <c:v>2024-03-03</c:v>
                </c:pt>
                <c:pt idx="52">
                  <c:v>2024-06-17</c:v>
                </c:pt>
                <c:pt idx="53">
                  <c:v>2024-03-30</c:v>
                </c:pt>
                <c:pt idx="54">
                  <c:v>2024-01-11</c:v>
                </c:pt>
                <c:pt idx="55">
                  <c:v>2024-05-01</c:v>
                </c:pt>
                <c:pt idx="56">
                  <c:v>2024-03-06</c:v>
                </c:pt>
                <c:pt idx="57">
                  <c:v>2024-02-24</c:v>
                </c:pt>
                <c:pt idx="58">
                  <c:v>2024-05-29</c:v>
                </c:pt>
                <c:pt idx="59">
                  <c:v>2024-03-11</c:v>
                </c:pt>
                <c:pt idx="60">
                  <c:v>2024-01-24</c:v>
                </c:pt>
                <c:pt idx="61">
                  <c:v>2024-04-16</c:v>
                </c:pt>
                <c:pt idx="62">
                  <c:v>2024-02-15</c:v>
                </c:pt>
                <c:pt idx="63">
                  <c:v>2024-01-07</c:v>
                </c:pt>
                <c:pt idx="64">
                  <c:v>2024-02-08</c:v>
                </c:pt>
                <c:pt idx="65">
                  <c:v>2024-04-21</c:v>
                </c:pt>
                <c:pt idx="66">
                  <c:v>2024-05-27</c:v>
                </c:pt>
                <c:pt idx="67">
                  <c:v>2024-05-10</c:v>
                </c:pt>
                <c:pt idx="68">
                  <c:v>2024-02-20</c:v>
                </c:pt>
                <c:pt idx="69">
                  <c:v>2024-04-27</c:v>
                </c:pt>
                <c:pt idx="70">
                  <c:v>2024-06-28</c:v>
                </c:pt>
                <c:pt idx="71">
                  <c:v>2024-03-27</c:v>
                </c:pt>
                <c:pt idx="72">
                  <c:v>2024-02-21</c:v>
                </c:pt>
                <c:pt idx="73">
                  <c:v>2024-02-22</c:v>
                </c:pt>
                <c:pt idx="74">
                  <c:v>2024-01-14</c:v>
                </c:pt>
                <c:pt idx="75">
                  <c:v>2024-03-05</c:v>
                </c:pt>
                <c:pt idx="76">
                  <c:v>2024-04-28</c:v>
                </c:pt>
                <c:pt idx="77">
                  <c:v>2024-02-16</c:v>
                </c:pt>
                <c:pt idx="78">
                  <c:v>2024-02-18</c:v>
                </c:pt>
                <c:pt idx="79">
                  <c:v>2024-01-02</c:v>
                </c:pt>
                <c:pt idx="80">
                  <c:v>2024-02-28</c:v>
                </c:pt>
                <c:pt idx="81">
                  <c:v>2024-03-20</c:v>
                </c:pt>
                <c:pt idx="82">
                  <c:v>2024-03-24</c:v>
                </c:pt>
                <c:pt idx="83">
                  <c:v>2024-05-05</c:v>
                </c:pt>
                <c:pt idx="84">
                  <c:v>2024-05-07</c:v>
                </c:pt>
                <c:pt idx="85">
                  <c:v>2024-02-01</c:v>
                </c:pt>
                <c:pt idx="86">
                  <c:v>2024-05-21</c:v>
                </c:pt>
                <c:pt idx="87">
                  <c:v>2024-01-15</c:v>
                </c:pt>
                <c:pt idx="88">
                  <c:v>2024-01-13</c:v>
                </c:pt>
                <c:pt idx="89">
                  <c:v>2024-05-25</c:v>
                </c:pt>
                <c:pt idx="90">
                  <c:v>2024-01-22</c:v>
                </c:pt>
                <c:pt idx="91">
                  <c:v>2024-06-29</c:v>
                </c:pt>
                <c:pt idx="92">
                  <c:v>2024-03-10</c:v>
                </c:pt>
                <c:pt idx="93">
                  <c:v>2024-06-01</c:v>
                </c:pt>
                <c:pt idx="94">
                  <c:v>2024-04-15</c:v>
                </c:pt>
                <c:pt idx="95">
                  <c:v>2024-04-10</c:v>
                </c:pt>
                <c:pt idx="96">
                  <c:v>2024-06-09</c:v>
                </c:pt>
                <c:pt idx="97">
                  <c:v>2024-06-26</c:v>
                </c:pt>
                <c:pt idx="98">
                  <c:v>2024-05-06</c:v>
                </c:pt>
                <c:pt idx="99">
                  <c:v>2024-03-12</c:v>
                </c:pt>
                <c:pt idx="100">
                  <c:v>2024-03-14</c:v>
                </c:pt>
                <c:pt idx="101">
                  <c:v>2024-06-05</c:v>
                </c:pt>
                <c:pt idx="102">
                  <c:v>2024-05-28</c:v>
                </c:pt>
                <c:pt idx="103">
                  <c:v>2024-02-02</c:v>
                </c:pt>
                <c:pt idx="104">
                  <c:v>2024-03-31</c:v>
                </c:pt>
                <c:pt idx="105">
                  <c:v>2024-03-08</c:v>
                </c:pt>
                <c:pt idx="106">
                  <c:v>2024-05-24</c:v>
                </c:pt>
                <c:pt idx="107">
                  <c:v>2024-03-04</c:v>
                </c:pt>
                <c:pt idx="108">
                  <c:v>2024-01-03</c:v>
                </c:pt>
                <c:pt idx="109">
                  <c:v>2024-01-20</c:v>
                </c:pt>
                <c:pt idx="110">
                  <c:v>2024-05-04</c:v>
                </c:pt>
                <c:pt idx="111">
                  <c:v>2024-05-22</c:v>
                </c:pt>
                <c:pt idx="112">
                  <c:v>2024-01-17</c:v>
                </c:pt>
                <c:pt idx="113">
                  <c:v>2024-04-01</c:v>
                </c:pt>
                <c:pt idx="114">
                  <c:v>2024-03-17</c:v>
                </c:pt>
                <c:pt idx="115">
                  <c:v>2024-04-23</c:v>
                </c:pt>
                <c:pt idx="116">
                  <c:v>2024-02-26</c:v>
                </c:pt>
                <c:pt idx="117">
                  <c:v>2024-03-01</c:v>
                </c:pt>
                <c:pt idx="118">
                  <c:v>2024-05-13</c:v>
                </c:pt>
                <c:pt idx="119">
                  <c:v>2024-03-23</c:v>
                </c:pt>
                <c:pt idx="120">
                  <c:v>2024-04-05</c:v>
                </c:pt>
                <c:pt idx="121">
                  <c:v>2024-02-04</c:v>
                </c:pt>
                <c:pt idx="122">
                  <c:v>2024-02-17</c:v>
                </c:pt>
                <c:pt idx="123">
                  <c:v>2024-03-09</c:v>
                </c:pt>
                <c:pt idx="124">
                  <c:v>2024-01-26</c:v>
                </c:pt>
                <c:pt idx="125">
                  <c:v>2024-04-07</c:v>
                </c:pt>
                <c:pt idx="126">
                  <c:v>2024-03-13</c:v>
                </c:pt>
                <c:pt idx="127">
                  <c:v>2024-04-30</c:v>
                </c:pt>
                <c:pt idx="128">
                  <c:v>2024-05-23</c:v>
                </c:pt>
                <c:pt idx="129">
                  <c:v>2024-02-11</c:v>
                </c:pt>
                <c:pt idx="130">
                  <c:v>2024-03-15</c:v>
                </c:pt>
                <c:pt idx="131">
                  <c:v>2024-03-28</c:v>
                </c:pt>
                <c:pt idx="132">
                  <c:v>2024-02-23</c:v>
                </c:pt>
                <c:pt idx="133">
                  <c:v>2024-01-18</c:v>
                </c:pt>
                <c:pt idx="134">
                  <c:v>2024-05-17</c:v>
                </c:pt>
                <c:pt idx="135">
                  <c:v>2024-04-26</c:v>
                </c:pt>
                <c:pt idx="136">
                  <c:v>2024-04-17</c:v>
                </c:pt>
                <c:pt idx="137">
                  <c:v>2024-01-04</c:v>
                </c:pt>
                <c:pt idx="138">
                  <c:v>2024-02-13</c:v>
                </c:pt>
                <c:pt idx="139">
                  <c:v>2024-06-22</c:v>
                </c:pt>
                <c:pt idx="140">
                  <c:v>2024-04-29</c:v>
                </c:pt>
                <c:pt idx="141">
                  <c:v>2024-01-08</c:v>
                </c:pt>
                <c:pt idx="142">
                  <c:v>2024-02-06</c:v>
                </c:pt>
                <c:pt idx="143">
                  <c:v>2024-01-27</c:v>
                </c:pt>
                <c:pt idx="144">
                  <c:v>2024-06-27</c:v>
                </c:pt>
                <c:pt idx="145">
                  <c:v>2024-04-25</c:v>
                </c:pt>
                <c:pt idx="146">
                  <c:v>2024-06-18</c:v>
                </c:pt>
                <c:pt idx="147">
                  <c:v>2024-01-09</c:v>
                </c:pt>
                <c:pt idx="148">
                  <c:v>2024-01-28</c:v>
                </c:pt>
                <c:pt idx="149">
                  <c:v>2024-05-11</c:v>
                </c:pt>
                <c:pt idx="150">
                  <c:v>2024-01-31</c:v>
                </c:pt>
                <c:pt idx="151">
                  <c:v>2024-02-14</c:v>
                </c:pt>
                <c:pt idx="152">
                  <c:v>2024-01-29</c:v>
                </c:pt>
                <c:pt idx="153">
                  <c:v>2024-06-14</c:v>
                </c:pt>
                <c:pt idx="154">
                  <c:v>2024-03-07</c:v>
                </c:pt>
                <c:pt idx="155">
                  <c:v>2024-05-14</c:v>
                </c:pt>
                <c:pt idx="156">
                  <c:v>2024-06-21</c:v>
                </c:pt>
                <c:pt idx="157">
                  <c:v>2024-01-05</c:v>
                </c:pt>
                <c:pt idx="158">
                  <c:v>2024-02-09</c:v>
                </c:pt>
                <c:pt idx="159">
                  <c:v>2024-06-10</c:v>
                </c:pt>
                <c:pt idx="160">
                  <c:v>2024-03-29</c:v>
                </c:pt>
                <c:pt idx="161">
                  <c:v>2024-04-06</c:v>
                </c:pt>
                <c:pt idx="162">
                  <c:v>2024-06-15</c:v>
                </c:pt>
                <c:pt idx="163">
                  <c:v>2024-02-03</c:v>
                </c:pt>
                <c:pt idx="164">
                  <c:v>2024-02-27</c:v>
                </c:pt>
                <c:pt idx="165">
                  <c:v>2024-04-12</c:v>
                </c:pt>
                <c:pt idx="166">
                  <c:v>2024-04-02</c:v>
                </c:pt>
                <c:pt idx="167">
                  <c:v>2024-06-03</c:v>
                </c:pt>
                <c:pt idx="168">
                  <c:v>2024-05-19</c:v>
                </c:pt>
                <c:pt idx="169">
                  <c:v>2024-03-02</c:v>
                </c:pt>
                <c:pt idx="170">
                  <c:v>2024-06-24</c:v>
                </c:pt>
                <c:pt idx="171">
                  <c:v>2024-02-10</c:v>
                </c:pt>
                <c:pt idx="172">
                  <c:v>2024-05-18</c:v>
                </c:pt>
                <c:pt idx="173">
                  <c:v>2024-03-22</c:v>
                </c:pt>
                <c:pt idx="174">
                  <c:v>2024-04-08</c:v>
                </c:pt>
              </c:strCache>
            </c:strRef>
          </c:cat>
          <c:val>
            <c:numRef>
              <c:f>'pivot table'!$B$14:$B$189</c:f>
              <c:numCache>
                <c:formatCode>General</c:formatCode>
                <c:ptCount val="175"/>
                <c:pt idx="0">
                  <c:v>137.30000000000001</c:v>
                </c:pt>
                <c:pt idx="1">
                  <c:v>123.10000000000001</c:v>
                </c:pt>
                <c:pt idx="2">
                  <c:v>111</c:v>
                </c:pt>
                <c:pt idx="3">
                  <c:v>97.4</c:v>
                </c:pt>
                <c:pt idx="4">
                  <c:v>96.399999999999991</c:v>
                </c:pt>
                <c:pt idx="5">
                  <c:v>88.6</c:v>
                </c:pt>
                <c:pt idx="6">
                  <c:v>85.699999999999989</c:v>
                </c:pt>
                <c:pt idx="7">
                  <c:v>85.5</c:v>
                </c:pt>
                <c:pt idx="8">
                  <c:v>82.699999999999989</c:v>
                </c:pt>
                <c:pt idx="9">
                  <c:v>82.2</c:v>
                </c:pt>
                <c:pt idx="10">
                  <c:v>80.699999999999989</c:v>
                </c:pt>
                <c:pt idx="11">
                  <c:v>77.800000000000011</c:v>
                </c:pt>
                <c:pt idx="12">
                  <c:v>76.599999999999994</c:v>
                </c:pt>
                <c:pt idx="13">
                  <c:v>76.400000000000006</c:v>
                </c:pt>
                <c:pt idx="14">
                  <c:v>74.600000000000009</c:v>
                </c:pt>
                <c:pt idx="15">
                  <c:v>74</c:v>
                </c:pt>
                <c:pt idx="16">
                  <c:v>74</c:v>
                </c:pt>
                <c:pt idx="17">
                  <c:v>73.5</c:v>
                </c:pt>
                <c:pt idx="18">
                  <c:v>72.400000000000006</c:v>
                </c:pt>
                <c:pt idx="19">
                  <c:v>72.400000000000006</c:v>
                </c:pt>
                <c:pt idx="20">
                  <c:v>70.599999999999994</c:v>
                </c:pt>
                <c:pt idx="21">
                  <c:v>69.300000000000011</c:v>
                </c:pt>
                <c:pt idx="22">
                  <c:v>68.600000000000009</c:v>
                </c:pt>
                <c:pt idx="23">
                  <c:v>68.5</c:v>
                </c:pt>
                <c:pt idx="24">
                  <c:v>66.900000000000006</c:v>
                </c:pt>
                <c:pt idx="25">
                  <c:v>66</c:v>
                </c:pt>
                <c:pt idx="26">
                  <c:v>65.8</c:v>
                </c:pt>
                <c:pt idx="27">
                  <c:v>65.7</c:v>
                </c:pt>
                <c:pt idx="28">
                  <c:v>65.099999999999994</c:v>
                </c:pt>
                <c:pt idx="29">
                  <c:v>63.6</c:v>
                </c:pt>
                <c:pt idx="30">
                  <c:v>62.6</c:v>
                </c:pt>
                <c:pt idx="31">
                  <c:v>62.3</c:v>
                </c:pt>
                <c:pt idx="32">
                  <c:v>61.800000000000004</c:v>
                </c:pt>
                <c:pt idx="33">
                  <c:v>60.2</c:v>
                </c:pt>
                <c:pt idx="34">
                  <c:v>59.1</c:v>
                </c:pt>
                <c:pt idx="35">
                  <c:v>59.1</c:v>
                </c:pt>
                <c:pt idx="36">
                  <c:v>59.099999999999994</c:v>
                </c:pt>
                <c:pt idx="37">
                  <c:v>58.6</c:v>
                </c:pt>
                <c:pt idx="38">
                  <c:v>58.4</c:v>
                </c:pt>
                <c:pt idx="39">
                  <c:v>54.8</c:v>
                </c:pt>
                <c:pt idx="40">
                  <c:v>54.5</c:v>
                </c:pt>
                <c:pt idx="41">
                  <c:v>54</c:v>
                </c:pt>
                <c:pt idx="42">
                  <c:v>53.5</c:v>
                </c:pt>
                <c:pt idx="43">
                  <c:v>53.400000000000006</c:v>
                </c:pt>
                <c:pt idx="44">
                  <c:v>53.3</c:v>
                </c:pt>
                <c:pt idx="45">
                  <c:v>52.3</c:v>
                </c:pt>
                <c:pt idx="46">
                  <c:v>50.7</c:v>
                </c:pt>
                <c:pt idx="47">
                  <c:v>50.300000000000004</c:v>
                </c:pt>
                <c:pt idx="48">
                  <c:v>48.9</c:v>
                </c:pt>
                <c:pt idx="49">
                  <c:v>48.5</c:v>
                </c:pt>
                <c:pt idx="50">
                  <c:v>48.1</c:v>
                </c:pt>
                <c:pt idx="51">
                  <c:v>47.9</c:v>
                </c:pt>
                <c:pt idx="52">
                  <c:v>46.199999999999996</c:v>
                </c:pt>
                <c:pt idx="53">
                  <c:v>46</c:v>
                </c:pt>
                <c:pt idx="54">
                  <c:v>45</c:v>
                </c:pt>
                <c:pt idx="55">
                  <c:v>44.8</c:v>
                </c:pt>
                <c:pt idx="56">
                  <c:v>43.8</c:v>
                </c:pt>
                <c:pt idx="57">
                  <c:v>42.9</c:v>
                </c:pt>
                <c:pt idx="58">
                  <c:v>42.4</c:v>
                </c:pt>
                <c:pt idx="59">
                  <c:v>41.4</c:v>
                </c:pt>
                <c:pt idx="60">
                  <c:v>41</c:v>
                </c:pt>
                <c:pt idx="61">
                  <c:v>40.9</c:v>
                </c:pt>
                <c:pt idx="62">
                  <c:v>40.299999999999997</c:v>
                </c:pt>
                <c:pt idx="63">
                  <c:v>40.299999999999997</c:v>
                </c:pt>
                <c:pt idx="64">
                  <c:v>40.200000000000003</c:v>
                </c:pt>
                <c:pt idx="65">
                  <c:v>40.1</c:v>
                </c:pt>
                <c:pt idx="66">
                  <c:v>39.799999999999997</c:v>
                </c:pt>
                <c:pt idx="67">
                  <c:v>39.299999999999997</c:v>
                </c:pt>
                <c:pt idx="68">
                  <c:v>39.200000000000003</c:v>
                </c:pt>
                <c:pt idx="69">
                  <c:v>38.299999999999997</c:v>
                </c:pt>
                <c:pt idx="70">
                  <c:v>37.799999999999997</c:v>
                </c:pt>
                <c:pt idx="71">
                  <c:v>37</c:v>
                </c:pt>
                <c:pt idx="72">
                  <c:v>36.5</c:v>
                </c:pt>
                <c:pt idx="73">
                  <c:v>36</c:v>
                </c:pt>
                <c:pt idx="74">
                  <c:v>35.799999999999997</c:v>
                </c:pt>
                <c:pt idx="75">
                  <c:v>35.700000000000003</c:v>
                </c:pt>
                <c:pt idx="76">
                  <c:v>35.5</c:v>
                </c:pt>
                <c:pt idx="77">
                  <c:v>35.299999999999997</c:v>
                </c:pt>
                <c:pt idx="78">
                  <c:v>34.799999999999997</c:v>
                </c:pt>
                <c:pt idx="79">
                  <c:v>34.1</c:v>
                </c:pt>
                <c:pt idx="80">
                  <c:v>34</c:v>
                </c:pt>
                <c:pt idx="81">
                  <c:v>33.9</c:v>
                </c:pt>
                <c:pt idx="82">
                  <c:v>33.6</c:v>
                </c:pt>
                <c:pt idx="83">
                  <c:v>33.5</c:v>
                </c:pt>
                <c:pt idx="84">
                  <c:v>33.200000000000003</c:v>
                </c:pt>
                <c:pt idx="85">
                  <c:v>33.200000000000003</c:v>
                </c:pt>
                <c:pt idx="86">
                  <c:v>33.200000000000003</c:v>
                </c:pt>
                <c:pt idx="87">
                  <c:v>33.1</c:v>
                </c:pt>
                <c:pt idx="88">
                  <c:v>33</c:v>
                </c:pt>
                <c:pt idx="89">
                  <c:v>33</c:v>
                </c:pt>
                <c:pt idx="90">
                  <c:v>32.5</c:v>
                </c:pt>
                <c:pt idx="91">
                  <c:v>32.5</c:v>
                </c:pt>
                <c:pt idx="92">
                  <c:v>32.200000000000003</c:v>
                </c:pt>
                <c:pt idx="93">
                  <c:v>31.6</c:v>
                </c:pt>
                <c:pt idx="94">
                  <c:v>31.4</c:v>
                </c:pt>
                <c:pt idx="95">
                  <c:v>31.1</c:v>
                </c:pt>
                <c:pt idx="96">
                  <c:v>31.1</c:v>
                </c:pt>
                <c:pt idx="97">
                  <c:v>30.8</c:v>
                </c:pt>
                <c:pt idx="98">
                  <c:v>30.7</c:v>
                </c:pt>
                <c:pt idx="99">
                  <c:v>30.4</c:v>
                </c:pt>
                <c:pt idx="100">
                  <c:v>29.799999999999997</c:v>
                </c:pt>
                <c:pt idx="101">
                  <c:v>29.700000000000003</c:v>
                </c:pt>
                <c:pt idx="102">
                  <c:v>29.700000000000003</c:v>
                </c:pt>
                <c:pt idx="103">
                  <c:v>29.7</c:v>
                </c:pt>
                <c:pt idx="104">
                  <c:v>29.7</c:v>
                </c:pt>
                <c:pt idx="105">
                  <c:v>29.5</c:v>
                </c:pt>
                <c:pt idx="106">
                  <c:v>29.200000000000003</c:v>
                </c:pt>
                <c:pt idx="107">
                  <c:v>29</c:v>
                </c:pt>
                <c:pt idx="108">
                  <c:v>28.6</c:v>
                </c:pt>
                <c:pt idx="109">
                  <c:v>28.5</c:v>
                </c:pt>
                <c:pt idx="110">
                  <c:v>27.4</c:v>
                </c:pt>
                <c:pt idx="111">
                  <c:v>27.3</c:v>
                </c:pt>
                <c:pt idx="112">
                  <c:v>27.1</c:v>
                </c:pt>
                <c:pt idx="113">
                  <c:v>27</c:v>
                </c:pt>
                <c:pt idx="114">
                  <c:v>27</c:v>
                </c:pt>
                <c:pt idx="115">
                  <c:v>26.4</c:v>
                </c:pt>
                <c:pt idx="116">
                  <c:v>26.2</c:v>
                </c:pt>
                <c:pt idx="117">
                  <c:v>26</c:v>
                </c:pt>
                <c:pt idx="118">
                  <c:v>25.9</c:v>
                </c:pt>
                <c:pt idx="119">
                  <c:v>25.8</c:v>
                </c:pt>
                <c:pt idx="120">
                  <c:v>25.4</c:v>
                </c:pt>
                <c:pt idx="121">
                  <c:v>25.2</c:v>
                </c:pt>
                <c:pt idx="122">
                  <c:v>24.599999999999998</c:v>
                </c:pt>
                <c:pt idx="123">
                  <c:v>23.7</c:v>
                </c:pt>
                <c:pt idx="124">
                  <c:v>23.6</c:v>
                </c:pt>
                <c:pt idx="125">
                  <c:v>23.6</c:v>
                </c:pt>
                <c:pt idx="126">
                  <c:v>23.5</c:v>
                </c:pt>
                <c:pt idx="127">
                  <c:v>22.7</c:v>
                </c:pt>
                <c:pt idx="128">
                  <c:v>22.6</c:v>
                </c:pt>
                <c:pt idx="129">
                  <c:v>22.5</c:v>
                </c:pt>
                <c:pt idx="130">
                  <c:v>22.4</c:v>
                </c:pt>
                <c:pt idx="131">
                  <c:v>22</c:v>
                </c:pt>
                <c:pt idx="132">
                  <c:v>22</c:v>
                </c:pt>
                <c:pt idx="133">
                  <c:v>21.6</c:v>
                </c:pt>
                <c:pt idx="134">
                  <c:v>21.3</c:v>
                </c:pt>
                <c:pt idx="135">
                  <c:v>21.1</c:v>
                </c:pt>
                <c:pt idx="136">
                  <c:v>21</c:v>
                </c:pt>
                <c:pt idx="137">
                  <c:v>21</c:v>
                </c:pt>
                <c:pt idx="138">
                  <c:v>20.2</c:v>
                </c:pt>
                <c:pt idx="139">
                  <c:v>20.100000000000001</c:v>
                </c:pt>
                <c:pt idx="140">
                  <c:v>19.7</c:v>
                </c:pt>
                <c:pt idx="141">
                  <c:v>19</c:v>
                </c:pt>
                <c:pt idx="142">
                  <c:v>18.600000000000001</c:v>
                </c:pt>
                <c:pt idx="143">
                  <c:v>18.399999999999999</c:v>
                </c:pt>
                <c:pt idx="144">
                  <c:v>18.399999999999999</c:v>
                </c:pt>
                <c:pt idx="145">
                  <c:v>18</c:v>
                </c:pt>
                <c:pt idx="146">
                  <c:v>17.600000000000001</c:v>
                </c:pt>
                <c:pt idx="147">
                  <c:v>17.599999999999998</c:v>
                </c:pt>
                <c:pt idx="148">
                  <c:v>16.8</c:v>
                </c:pt>
                <c:pt idx="149">
                  <c:v>16.2</c:v>
                </c:pt>
                <c:pt idx="150">
                  <c:v>15.5</c:v>
                </c:pt>
                <c:pt idx="151">
                  <c:v>15.2</c:v>
                </c:pt>
                <c:pt idx="152">
                  <c:v>15</c:v>
                </c:pt>
                <c:pt idx="153">
                  <c:v>15</c:v>
                </c:pt>
                <c:pt idx="154">
                  <c:v>13</c:v>
                </c:pt>
                <c:pt idx="155">
                  <c:v>12.8</c:v>
                </c:pt>
                <c:pt idx="156">
                  <c:v>12.6</c:v>
                </c:pt>
                <c:pt idx="157">
                  <c:v>12</c:v>
                </c:pt>
                <c:pt idx="158">
                  <c:v>12</c:v>
                </c:pt>
                <c:pt idx="159">
                  <c:v>10.4</c:v>
                </c:pt>
                <c:pt idx="160">
                  <c:v>10.3</c:v>
                </c:pt>
                <c:pt idx="161">
                  <c:v>9.1999999999999993</c:v>
                </c:pt>
                <c:pt idx="162">
                  <c:v>8.4</c:v>
                </c:pt>
                <c:pt idx="163">
                  <c:v>8</c:v>
                </c:pt>
                <c:pt idx="164">
                  <c:v>7.2</c:v>
                </c:pt>
                <c:pt idx="165">
                  <c:v>6.6</c:v>
                </c:pt>
                <c:pt idx="166">
                  <c:v>6.5</c:v>
                </c:pt>
                <c:pt idx="167">
                  <c:v>6.4</c:v>
                </c:pt>
                <c:pt idx="168">
                  <c:v>6.3</c:v>
                </c:pt>
                <c:pt idx="169">
                  <c:v>6</c:v>
                </c:pt>
                <c:pt idx="170">
                  <c:v>6</c:v>
                </c:pt>
                <c:pt idx="171">
                  <c:v>4.8</c:v>
                </c:pt>
                <c:pt idx="172">
                  <c:v>3.8</c:v>
                </c:pt>
                <c:pt idx="173">
                  <c:v>2.5</c:v>
                </c:pt>
                <c:pt idx="174">
                  <c:v>2</c:v>
                </c:pt>
              </c:numCache>
            </c:numRef>
          </c:val>
          <c:smooth val="0"/>
          <c:extLst>
            <c:ext xmlns:c16="http://schemas.microsoft.com/office/drawing/2014/chart" uri="{C3380CC4-5D6E-409C-BE32-E72D297353CC}">
              <c16:uniqueId val="{00000000-D2B2-F145-8DA8-E8487A905CA6}"/>
            </c:ext>
          </c:extLst>
        </c:ser>
        <c:dLbls>
          <c:showLegendKey val="0"/>
          <c:showVal val="0"/>
          <c:showCatName val="0"/>
          <c:showSerName val="0"/>
          <c:showPercent val="0"/>
          <c:showBubbleSize val="0"/>
        </c:dLbls>
        <c:smooth val="0"/>
        <c:axId val="219228720"/>
        <c:axId val="238531520"/>
      </c:lineChart>
      <c:catAx>
        <c:axId val="21922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531520"/>
        <c:crosses val="autoZero"/>
        <c:auto val="1"/>
        <c:lblAlgn val="ctr"/>
        <c:lblOffset val="100"/>
        <c:noMultiLvlLbl val="0"/>
      </c:catAx>
      <c:valAx>
        <c:axId val="23853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2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sz="1400" b="0" i="0" u="none" strike="noStrike" baseline="0"/>
              <a:t>Top Products by Revenue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0"/>
              <c:pt idx="0">
                <c:v>Apples</c:v>
              </c:pt>
              <c:pt idx="1">
                <c:v>Bread</c:v>
              </c:pt>
              <c:pt idx="2">
                <c:v>Cheese</c:v>
              </c:pt>
              <c:pt idx="3">
                <c:v>Cola</c:v>
              </c:pt>
              <c:pt idx="4">
                <c:v>Croissant</c:v>
              </c:pt>
              <c:pt idx="5">
                <c:v>Detergent</c:v>
              </c:pt>
              <c:pt idx="6">
                <c:v>Milk</c:v>
              </c:pt>
              <c:pt idx="7">
                <c:v>Orange Juice</c:v>
              </c:pt>
              <c:pt idx="8">
                <c:v>Paper Towels</c:v>
              </c:pt>
              <c:pt idx="9">
                <c:v>Pasta</c:v>
              </c:pt>
            </c:strLit>
          </c:cat>
          <c:val>
            <c:numLit>
              <c:formatCode>General</c:formatCode>
              <c:ptCount val="10"/>
              <c:pt idx="0">
                <c:v>627</c:v>
              </c:pt>
              <c:pt idx="1">
                <c:v>406</c:v>
              </c:pt>
              <c:pt idx="2">
                <c:v>756.2</c:v>
              </c:pt>
              <c:pt idx="3">
                <c:v>438.90000000000003</c:v>
              </c:pt>
              <c:pt idx="4">
                <c:v>672.3</c:v>
              </c:pt>
              <c:pt idx="5">
                <c:v>1137.5</c:v>
              </c:pt>
              <c:pt idx="6">
                <c:v>542.5</c:v>
              </c:pt>
              <c:pt idx="7">
                <c:v>764.8000000000003</c:v>
              </c:pt>
              <c:pt idx="8">
                <c:v>974.40000000000009</c:v>
              </c:pt>
              <c:pt idx="9">
                <c:v>479.99999999999983</c:v>
              </c:pt>
            </c:numLit>
          </c:val>
          <c:extLst>
            <c:ext xmlns:c16="http://schemas.microsoft.com/office/drawing/2014/chart" uri="{C3380CC4-5D6E-409C-BE32-E72D297353CC}">
              <c16:uniqueId val="{00000000-4660-B749-8F00-84065C8BB1E1}"/>
            </c:ext>
          </c:extLst>
        </c:ser>
        <c:dLbls>
          <c:showLegendKey val="0"/>
          <c:showVal val="0"/>
          <c:showCatName val="0"/>
          <c:showSerName val="0"/>
          <c:showPercent val="0"/>
          <c:showBubbleSize val="0"/>
        </c:dLbls>
        <c:gapWidth val="219"/>
        <c:overlap val="-27"/>
        <c:axId val="233108448"/>
        <c:axId val="233593504"/>
      </c:barChart>
      <c:catAx>
        <c:axId val="23310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93504"/>
        <c:crosses val="autoZero"/>
        <c:auto val="1"/>
        <c:lblAlgn val="ctr"/>
        <c:lblOffset val="100"/>
        <c:noMultiLvlLbl val="0"/>
      </c:catAx>
      <c:valAx>
        <c:axId val="23359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0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57150</xdr:colOff>
      <xdr:row>191</xdr:row>
      <xdr:rowOff>50800</xdr:rowOff>
    </xdr:from>
    <xdr:to>
      <xdr:col>13</xdr:col>
      <xdr:colOff>501650</xdr:colOff>
      <xdr:row>205</xdr:row>
      <xdr:rowOff>127000</xdr:rowOff>
    </xdr:to>
    <xdr:graphicFrame macro="">
      <xdr:nvGraphicFramePr>
        <xdr:cNvPr id="6" name="Chart 5">
          <a:extLst>
            <a:ext uri="{FF2B5EF4-FFF2-40B4-BE49-F238E27FC236}">
              <a16:creationId xmlns:a16="http://schemas.microsoft.com/office/drawing/2014/main" id="{DC711CCF-6982-6C0F-1F3D-9A8805E99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0</xdr:colOff>
      <xdr:row>22</xdr:row>
      <xdr:rowOff>76200</xdr:rowOff>
    </xdr:to>
    <xdr:graphicFrame macro="">
      <xdr:nvGraphicFramePr>
        <xdr:cNvPr id="2" name="Chart 1">
          <a:extLst>
            <a:ext uri="{FF2B5EF4-FFF2-40B4-BE49-F238E27FC236}">
              <a16:creationId xmlns:a16="http://schemas.microsoft.com/office/drawing/2014/main" id="{9E27EC29-251A-7241-A69F-863B23C8B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7</xdr:row>
      <xdr:rowOff>33866</xdr:rowOff>
    </xdr:from>
    <xdr:to>
      <xdr:col>4</xdr:col>
      <xdr:colOff>351366</xdr:colOff>
      <xdr:row>21</xdr:row>
      <xdr:rowOff>110065</xdr:rowOff>
    </xdr:to>
    <xdr:graphicFrame macro="">
      <xdr:nvGraphicFramePr>
        <xdr:cNvPr id="3" name="Chart 2">
          <a:extLst>
            <a:ext uri="{FF2B5EF4-FFF2-40B4-BE49-F238E27FC236}">
              <a16:creationId xmlns:a16="http://schemas.microsoft.com/office/drawing/2014/main" id="{6525098D-6977-DC48-878F-D040FC496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22</xdr:row>
      <xdr:rowOff>139700</xdr:rowOff>
    </xdr:from>
    <xdr:to>
      <xdr:col>2</xdr:col>
      <xdr:colOff>0</xdr:colOff>
      <xdr:row>37</xdr:row>
      <xdr:rowOff>25400</xdr:rowOff>
    </xdr:to>
    <xdr:graphicFrame macro="">
      <xdr:nvGraphicFramePr>
        <xdr:cNvPr id="4" name="Chart 3">
          <a:extLst>
            <a:ext uri="{FF2B5EF4-FFF2-40B4-BE49-F238E27FC236}">
              <a16:creationId xmlns:a16="http://schemas.microsoft.com/office/drawing/2014/main" id="{58035262-ACF5-884B-ACCA-8821E27B0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21</xdr:row>
      <xdr:rowOff>118531</xdr:rowOff>
    </xdr:from>
    <xdr:to>
      <xdr:col>4</xdr:col>
      <xdr:colOff>457199</xdr:colOff>
      <xdr:row>37</xdr:row>
      <xdr:rowOff>135466</xdr:rowOff>
    </xdr:to>
    <xdr:graphicFrame macro="">
      <xdr:nvGraphicFramePr>
        <xdr:cNvPr id="5" name="Chart 4">
          <a:extLst>
            <a:ext uri="{FF2B5EF4-FFF2-40B4-BE49-F238E27FC236}">
              <a16:creationId xmlns:a16="http://schemas.microsoft.com/office/drawing/2014/main" id="{33ABC1F9-D565-744C-9786-3EBAD80FB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8</xdr:row>
      <xdr:rowOff>12700</xdr:rowOff>
    </xdr:from>
    <xdr:to>
      <xdr:col>7</xdr:col>
      <xdr:colOff>177799</xdr:colOff>
      <xdr:row>20</xdr:row>
      <xdr:rowOff>155569</xdr:rowOff>
    </xdr:to>
    <mc:AlternateContent xmlns:mc="http://schemas.openxmlformats.org/markup-compatibility/2006">
      <mc:Choice xmlns:a14="http://schemas.microsoft.com/office/drawing/2010/main" Requires="a14">
        <xdr:graphicFrame macro="">
          <xdr:nvGraphicFramePr>
            <xdr:cNvPr id="6" name="City 1">
              <a:extLst>
                <a:ext uri="{FF2B5EF4-FFF2-40B4-BE49-F238E27FC236}">
                  <a16:creationId xmlns:a16="http://schemas.microsoft.com/office/drawing/2014/main" id="{0E7038AA-3954-B34E-8EE5-706FD13C40B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416800" y="1689100"/>
              <a:ext cx="1837266" cy="23780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21</xdr:row>
      <xdr:rowOff>38100</xdr:rowOff>
    </xdr:from>
    <xdr:to>
      <xdr:col>7</xdr:col>
      <xdr:colOff>177799</xdr:colOff>
      <xdr:row>33</xdr:row>
      <xdr:rowOff>180969</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438CE305-5D2B-234C-8A55-0D9462F4C2A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16800" y="4135967"/>
              <a:ext cx="1837266" cy="23780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34</xdr:row>
      <xdr:rowOff>38100</xdr:rowOff>
    </xdr:from>
    <xdr:to>
      <xdr:col>7</xdr:col>
      <xdr:colOff>177799</xdr:colOff>
      <xdr:row>46</xdr:row>
      <xdr:rowOff>180969</xdr:rowOff>
    </xdr:to>
    <mc:AlternateContent xmlns:mc="http://schemas.openxmlformats.org/markup-compatibility/2006">
      <mc:Choice xmlns:a14="http://schemas.microsoft.com/office/drawing/2010/main" Requires="a14">
        <xdr:graphicFrame macro="">
          <xdr:nvGraphicFramePr>
            <xdr:cNvPr id="8" name="Product 1">
              <a:extLst>
                <a:ext uri="{FF2B5EF4-FFF2-40B4-BE49-F238E27FC236}">
                  <a16:creationId xmlns:a16="http://schemas.microsoft.com/office/drawing/2014/main" id="{D62ED989-7356-5745-AEBD-538D717A659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416800" y="6557433"/>
              <a:ext cx="1837266" cy="23780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1.548043287039" createdVersion="8" refreshedVersion="8" minRefreshableVersion="3" recordCount="600" xr:uid="{A53693E8-87E9-DD41-8C11-2BA6077AA3C5}">
  <cacheSource type="worksheet">
    <worksheetSource name="grocery_data"/>
  </cacheSource>
  <cacheFields count="8">
    <cacheField name="Order_ID" numFmtId="0">
      <sharedItems containsSemiMixedTypes="0" containsString="0" containsNumber="1" containsInteger="1" minValue="1001" maxValue="1600"/>
    </cacheField>
    <cacheField name="Date" numFmtId="0">
      <sharedItems count="175">
        <s v="2024-06-25"/>
        <s v="2024-03-03"/>
        <s v="2024-04-13"/>
        <s v="2024-06-10"/>
        <s v="2024-03-07"/>
        <s v="2024-02-20"/>
        <s v="2024-05-08"/>
        <s v="2024-06-02"/>
        <s v="2024-03-13"/>
        <s v="2024-04-28"/>
        <s v="2024-05-09"/>
        <s v="2024-06-23"/>
        <s v="2024-01-23"/>
        <s v="2024-01-18"/>
        <s v="2024-02-18"/>
        <s v="2024-06-12"/>
        <s v="2024-05-01"/>
        <s v="2024-03-08"/>
        <s v="2024-05-25"/>
        <s v="2024-02-13"/>
        <s v="2024-02-27"/>
        <s v="2024-04-21"/>
        <s v="2024-01-30"/>
        <s v="2024-03-30"/>
        <s v="2024-05-14"/>
        <s v="2024-02-16"/>
        <s v="2024-04-24"/>
        <s v="2024-06-01"/>
        <s v="2024-03-14"/>
        <s v="2024-04-10"/>
        <s v="2024-01-31"/>
        <s v="2024-05-13"/>
        <s v="2024-03-04"/>
        <s v="2024-05-12"/>
        <s v="2024-03-16"/>
        <s v="2024-05-10"/>
        <s v="2024-01-17"/>
        <s v="2024-05-07"/>
        <s v="2024-06-19"/>
        <s v="2024-01-07"/>
        <s v="2024-03-22"/>
        <s v="2024-01-08"/>
        <s v="2024-05-03"/>
        <s v="2024-04-22"/>
        <s v="2024-06-29"/>
        <s v="2024-04-04"/>
        <s v="2024-02-12"/>
        <s v="2024-03-21"/>
        <s v="2024-03-09"/>
        <s v="2024-03-10"/>
        <s v="2024-06-11"/>
        <s v="2024-01-04"/>
        <s v="2024-04-20"/>
        <s v="2024-05-23"/>
        <s v="2024-04-11"/>
        <s v="2024-04-23"/>
        <s v="2024-01-22"/>
        <s v="2024-03-15"/>
        <s v="2024-04-03"/>
        <s v="2024-06-20"/>
        <s v="2024-02-08"/>
        <s v="2024-01-12"/>
        <s v="2024-05-02"/>
        <s v="2024-04-15"/>
        <s v="2024-02-04"/>
        <s v="2024-05-28"/>
        <s v="2024-04-09"/>
        <s v="2024-02-02"/>
        <s v="2024-06-18"/>
        <s v="2024-03-28"/>
        <s v="2024-01-24"/>
        <s v="2024-03-11"/>
        <s v="2024-01-21"/>
        <s v="2024-04-14"/>
        <s v="2024-05-21"/>
        <s v="2024-06-17"/>
        <s v="2024-02-28"/>
        <s v="2024-01-26"/>
        <s v="2024-05-27"/>
        <s v="2024-03-26"/>
        <s v="2024-05-29"/>
        <s v="2024-01-19"/>
        <s v="2024-01-11"/>
        <s v="2024-06-09"/>
        <s v="2024-02-07"/>
        <s v="2024-04-06"/>
        <s v="2024-05-17"/>
        <s v="2024-04-01"/>
        <s v="2024-01-03"/>
        <s v="2024-03-05"/>
        <s v="2024-01-10"/>
        <s v="2024-01-25"/>
        <s v="2024-02-25"/>
        <s v="2024-02-22"/>
        <s v="2024-06-07"/>
        <s v="2024-05-11"/>
        <s v="2024-05-20"/>
        <s v="2024-05-05"/>
        <s v="2024-03-02"/>
        <s v="2024-02-15"/>
        <s v="2024-05-04"/>
        <s v="2024-04-17"/>
        <s v="2024-04-25"/>
        <s v="2024-06-21"/>
        <s v="2024-01-14"/>
        <s v="2024-03-06"/>
        <s v="2024-06-26"/>
        <s v="2024-01-06"/>
        <s v="2024-02-10"/>
        <s v="2024-05-15"/>
        <s v="2024-05-31"/>
        <s v="2024-01-15"/>
        <s v="2024-05-26"/>
        <s v="2024-03-24"/>
        <s v="2024-01-01"/>
        <s v="2024-02-05"/>
        <s v="2024-01-29"/>
        <s v="2024-04-07"/>
        <s v="2024-01-02"/>
        <s v="2024-05-18"/>
        <s v="2024-06-22"/>
        <s v="2024-04-05"/>
        <s v="2024-02-09"/>
        <s v="2024-05-24"/>
        <s v="2024-01-13"/>
        <s v="2024-02-23"/>
        <s v="2024-03-25"/>
        <s v="2024-02-21"/>
        <s v="2024-06-13"/>
        <s v="2024-03-18"/>
        <s v="2024-02-11"/>
        <s v="2024-05-30"/>
        <s v="2024-04-16"/>
        <s v="2024-06-14"/>
        <s v="2024-01-20"/>
        <s v="2024-02-29"/>
        <s v="2024-02-06"/>
        <s v="2024-06-08"/>
        <s v="2024-06-05"/>
        <s v="2024-01-16"/>
        <s v="2024-03-20"/>
        <s v="2024-04-29"/>
        <s v="2024-03-12"/>
        <s v="2024-04-27"/>
        <s v="2024-04-26"/>
        <s v="2024-03-27"/>
        <s v="2024-01-09"/>
        <s v="2024-04-30"/>
        <s v="2024-03-23"/>
        <s v="2024-03-19"/>
        <s v="2024-06-06"/>
        <s v="2024-03-29"/>
        <s v="2024-02-26"/>
        <s v="2024-04-08"/>
        <s v="2024-06-03"/>
        <s v="2024-06-27"/>
        <s v="2024-01-27"/>
        <s v="2024-05-19"/>
        <s v="2024-03-17"/>
        <s v="2024-02-24"/>
        <s v="2024-05-06"/>
        <s v="2024-03-31"/>
        <s v="2024-02-17"/>
        <s v="2024-04-12"/>
        <s v="2024-04-02"/>
        <s v="2024-06-28"/>
        <s v="2024-02-01"/>
        <s v="2024-01-28"/>
        <s v="2024-02-03"/>
        <s v="2024-05-22"/>
        <s v="2024-02-14"/>
        <s v="2024-03-01"/>
        <s v="2024-06-24"/>
        <s v="2024-01-05"/>
        <s v="2024-06-15"/>
      </sharedItems>
    </cacheField>
    <cacheField name="City" numFmtId="0">
      <sharedItems count="4">
        <s v="Dublin"/>
        <s v="Galway"/>
        <s v="Cork"/>
        <s v="Limerick"/>
      </sharedItems>
    </cacheField>
    <cacheField name="Product" numFmtId="0">
      <sharedItems count="10">
        <s v="Orange Juice"/>
        <s v="Bread"/>
        <s v="Milk"/>
        <s v="Detergent"/>
        <s v="Croissant"/>
        <s v="Paper Towels"/>
        <s v="Apples"/>
        <s v="Cola"/>
        <s v="Cheese"/>
        <s v="Pasta"/>
      </sharedItems>
    </cacheField>
    <cacheField name="Category" numFmtId="0">
      <sharedItems count="5">
        <s v="Beverages"/>
        <s v="Bakery"/>
        <s v="Dairy"/>
        <s v="Household"/>
        <s v="Groceries"/>
      </sharedItems>
    </cacheField>
    <cacheField name="Quantity" numFmtId="0">
      <sharedItems containsSemiMixedTypes="0" containsString="0" containsNumber="1" containsInteger="1" minValue="1" maxValue="6"/>
    </cacheField>
    <cacheField name="Price" numFmtId="0">
      <sharedItems containsSemiMixedTypes="0" containsString="0" containsNumber="1" minValue="2" maxValue="6.5"/>
    </cacheField>
    <cacheField name="Revenue" numFmtId="0">
      <sharedItems containsSemiMixedTypes="0" containsString="0" containsNumber="1" minValue="2" maxValue="39"/>
    </cacheField>
  </cacheFields>
  <extLst>
    <ext xmlns:x14="http://schemas.microsoft.com/office/spreadsheetml/2009/9/main" uri="{725AE2AE-9491-48be-B2B4-4EB974FC3084}">
      <x14:pivotCacheDefinition pivotCacheId="1017515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n v="1001"/>
    <x v="0"/>
    <x v="0"/>
    <x v="0"/>
    <x v="0"/>
    <n v="6"/>
    <n v="3.2"/>
    <n v="19.2"/>
  </r>
  <r>
    <n v="1002"/>
    <x v="1"/>
    <x v="1"/>
    <x v="1"/>
    <x v="1"/>
    <n v="2"/>
    <n v="2"/>
    <n v="4"/>
  </r>
  <r>
    <n v="1003"/>
    <x v="2"/>
    <x v="1"/>
    <x v="2"/>
    <x v="2"/>
    <n v="6"/>
    <n v="2.5"/>
    <n v="15"/>
  </r>
  <r>
    <n v="1004"/>
    <x v="3"/>
    <x v="0"/>
    <x v="0"/>
    <x v="0"/>
    <n v="1"/>
    <n v="3.2"/>
    <n v="3.2"/>
  </r>
  <r>
    <n v="1005"/>
    <x v="4"/>
    <x v="1"/>
    <x v="3"/>
    <x v="3"/>
    <n v="2"/>
    <n v="6.5"/>
    <n v="13"/>
  </r>
  <r>
    <n v="1006"/>
    <x v="5"/>
    <x v="2"/>
    <x v="4"/>
    <x v="1"/>
    <n v="6"/>
    <n v="2.7"/>
    <n v="16.2"/>
  </r>
  <r>
    <n v="1007"/>
    <x v="6"/>
    <x v="2"/>
    <x v="4"/>
    <x v="1"/>
    <n v="5"/>
    <n v="2.7"/>
    <n v="13.5"/>
  </r>
  <r>
    <n v="1008"/>
    <x v="7"/>
    <x v="3"/>
    <x v="5"/>
    <x v="3"/>
    <n v="6"/>
    <n v="4.2"/>
    <n v="25.2"/>
  </r>
  <r>
    <n v="1009"/>
    <x v="6"/>
    <x v="3"/>
    <x v="5"/>
    <x v="3"/>
    <n v="5"/>
    <n v="4.2"/>
    <n v="21"/>
  </r>
  <r>
    <n v="1010"/>
    <x v="8"/>
    <x v="0"/>
    <x v="6"/>
    <x v="4"/>
    <n v="3"/>
    <n v="3"/>
    <n v="9"/>
  </r>
  <r>
    <n v="1011"/>
    <x v="9"/>
    <x v="1"/>
    <x v="7"/>
    <x v="0"/>
    <n v="6"/>
    <n v="2.1"/>
    <n v="12.6"/>
  </r>
  <r>
    <n v="1012"/>
    <x v="10"/>
    <x v="2"/>
    <x v="1"/>
    <x v="1"/>
    <n v="1"/>
    <n v="2"/>
    <n v="2"/>
  </r>
  <r>
    <n v="1013"/>
    <x v="11"/>
    <x v="3"/>
    <x v="4"/>
    <x v="1"/>
    <n v="4"/>
    <n v="2.7"/>
    <n v="10.8"/>
  </r>
  <r>
    <n v="1014"/>
    <x v="12"/>
    <x v="0"/>
    <x v="7"/>
    <x v="0"/>
    <n v="6"/>
    <n v="2.1"/>
    <n v="12.6"/>
  </r>
  <r>
    <n v="1015"/>
    <x v="13"/>
    <x v="3"/>
    <x v="6"/>
    <x v="4"/>
    <n v="4"/>
    <n v="3"/>
    <n v="12"/>
  </r>
  <r>
    <n v="1016"/>
    <x v="14"/>
    <x v="1"/>
    <x v="5"/>
    <x v="3"/>
    <n v="3"/>
    <n v="4.2"/>
    <n v="12.6"/>
  </r>
  <r>
    <n v="1017"/>
    <x v="15"/>
    <x v="1"/>
    <x v="4"/>
    <x v="1"/>
    <n v="3"/>
    <n v="2.7"/>
    <n v="8.1"/>
  </r>
  <r>
    <n v="1018"/>
    <x v="16"/>
    <x v="0"/>
    <x v="2"/>
    <x v="2"/>
    <n v="4"/>
    <n v="2.5"/>
    <n v="10"/>
  </r>
  <r>
    <n v="1019"/>
    <x v="12"/>
    <x v="0"/>
    <x v="2"/>
    <x v="2"/>
    <n v="1"/>
    <n v="2.5"/>
    <n v="2.5"/>
  </r>
  <r>
    <n v="1020"/>
    <x v="17"/>
    <x v="2"/>
    <x v="8"/>
    <x v="2"/>
    <n v="5"/>
    <n v="3.8"/>
    <n v="19"/>
  </r>
  <r>
    <n v="1021"/>
    <x v="18"/>
    <x v="1"/>
    <x v="7"/>
    <x v="0"/>
    <n v="6"/>
    <n v="2.1"/>
    <n v="12.6"/>
  </r>
  <r>
    <n v="1022"/>
    <x v="19"/>
    <x v="2"/>
    <x v="2"/>
    <x v="2"/>
    <n v="1"/>
    <n v="2.5"/>
    <n v="2.5"/>
  </r>
  <r>
    <n v="1023"/>
    <x v="20"/>
    <x v="0"/>
    <x v="9"/>
    <x v="4"/>
    <n v="3"/>
    <n v="2.4"/>
    <n v="7.2"/>
  </r>
  <r>
    <n v="1024"/>
    <x v="21"/>
    <x v="3"/>
    <x v="2"/>
    <x v="2"/>
    <n v="1"/>
    <n v="2.5"/>
    <n v="2.5"/>
  </r>
  <r>
    <n v="1025"/>
    <x v="22"/>
    <x v="1"/>
    <x v="2"/>
    <x v="2"/>
    <n v="6"/>
    <n v="2.5"/>
    <n v="15"/>
  </r>
  <r>
    <n v="1026"/>
    <x v="23"/>
    <x v="0"/>
    <x v="0"/>
    <x v="0"/>
    <n v="3"/>
    <n v="3.2"/>
    <n v="9.6"/>
  </r>
  <r>
    <n v="1027"/>
    <x v="24"/>
    <x v="1"/>
    <x v="9"/>
    <x v="4"/>
    <n v="4"/>
    <n v="2.4"/>
    <n v="9.6"/>
  </r>
  <r>
    <n v="1028"/>
    <x v="25"/>
    <x v="1"/>
    <x v="4"/>
    <x v="1"/>
    <n v="3"/>
    <n v="2.7"/>
    <n v="8.1"/>
  </r>
  <r>
    <n v="1029"/>
    <x v="26"/>
    <x v="2"/>
    <x v="8"/>
    <x v="2"/>
    <n v="5"/>
    <n v="3.8"/>
    <n v="19"/>
  </r>
  <r>
    <n v="1030"/>
    <x v="15"/>
    <x v="0"/>
    <x v="6"/>
    <x v="4"/>
    <n v="6"/>
    <n v="3"/>
    <n v="18"/>
  </r>
  <r>
    <n v="1031"/>
    <x v="6"/>
    <x v="1"/>
    <x v="0"/>
    <x v="0"/>
    <n v="4"/>
    <n v="3.2"/>
    <n v="12.8"/>
  </r>
  <r>
    <n v="1032"/>
    <x v="0"/>
    <x v="1"/>
    <x v="2"/>
    <x v="2"/>
    <n v="6"/>
    <n v="2.5"/>
    <n v="15"/>
  </r>
  <r>
    <n v="1033"/>
    <x v="27"/>
    <x v="2"/>
    <x v="7"/>
    <x v="0"/>
    <n v="6"/>
    <n v="2.1"/>
    <n v="12.6"/>
  </r>
  <r>
    <n v="1034"/>
    <x v="28"/>
    <x v="3"/>
    <x v="7"/>
    <x v="0"/>
    <n v="2"/>
    <n v="2.1"/>
    <n v="4.2"/>
  </r>
  <r>
    <n v="1035"/>
    <x v="29"/>
    <x v="1"/>
    <x v="4"/>
    <x v="1"/>
    <n v="5"/>
    <n v="2.7"/>
    <n v="13.5"/>
  </r>
  <r>
    <n v="1036"/>
    <x v="1"/>
    <x v="0"/>
    <x v="3"/>
    <x v="3"/>
    <n v="3"/>
    <n v="6.5"/>
    <n v="19.5"/>
  </r>
  <r>
    <n v="1037"/>
    <x v="30"/>
    <x v="0"/>
    <x v="2"/>
    <x v="2"/>
    <n v="2"/>
    <n v="2.5"/>
    <n v="5"/>
  </r>
  <r>
    <n v="1038"/>
    <x v="31"/>
    <x v="2"/>
    <x v="5"/>
    <x v="3"/>
    <n v="1"/>
    <n v="4.2"/>
    <n v="4.2"/>
  </r>
  <r>
    <n v="1039"/>
    <x v="16"/>
    <x v="1"/>
    <x v="8"/>
    <x v="2"/>
    <n v="1"/>
    <n v="3.8"/>
    <n v="3.8"/>
  </r>
  <r>
    <n v="1040"/>
    <x v="32"/>
    <x v="2"/>
    <x v="8"/>
    <x v="2"/>
    <n v="5"/>
    <n v="3.8"/>
    <n v="19"/>
  </r>
  <r>
    <n v="1041"/>
    <x v="33"/>
    <x v="2"/>
    <x v="7"/>
    <x v="0"/>
    <n v="4"/>
    <n v="2.1"/>
    <n v="8.4"/>
  </r>
  <r>
    <n v="1042"/>
    <x v="8"/>
    <x v="3"/>
    <x v="1"/>
    <x v="1"/>
    <n v="6"/>
    <n v="2"/>
    <n v="12"/>
  </r>
  <r>
    <n v="1043"/>
    <x v="34"/>
    <x v="1"/>
    <x v="5"/>
    <x v="3"/>
    <n v="3"/>
    <n v="4.2"/>
    <n v="12.6"/>
  </r>
  <r>
    <n v="1044"/>
    <x v="35"/>
    <x v="1"/>
    <x v="0"/>
    <x v="0"/>
    <n v="4"/>
    <n v="3.2"/>
    <n v="12.8"/>
  </r>
  <r>
    <n v="1045"/>
    <x v="36"/>
    <x v="1"/>
    <x v="6"/>
    <x v="4"/>
    <n v="4"/>
    <n v="3"/>
    <n v="12"/>
  </r>
  <r>
    <n v="1046"/>
    <x v="37"/>
    <x v="1"/>
    <x v="9"/>
    <x v="4"/>
    <n v="4"/>
    <n v="2.4"/>
    <n v="9.6"/>
  </r>
  <r>
    <n v="1047"/>
    <x v="38"/>
    <x v="2"/>
    <x v="5"/>
    <x v="3"/>
    <n v="3"/>
    <n v="4.2"/>
    <n v="12.6"/>
  </r>
  <r>
    <n v="1048"/>
    <x v="21"/>
    <x v="0"/>
    <x v="5"/>
    <x v="3"/>
    <n v="4"/>
    <n v="4.2"/>
    <n v="16.8"/>
  </r>
  <r>
    <n v="1049"/>
    <x v="39"/>
    <x v="3"/>
    <x v="4"/>
    <x v="1"/>
    <n v="6"/>
    <n v="2.7"/>
    <n v="16.2"/>
  </r>
  <r>
    <n v="1050"/>
    <x v="40"/>
    <x v="1"/>
    <x v="2"/>
    <x v="2"/>
    <n v="1"/>
    <n v="2.5"/>
    <n v="2.5"/>
  </r>
  <r>
    <n v="1051"/>
    <x v="41"/>
    <x v="2"/>
    <x v="2"/>
    <x v="2"/>
    <n v="5"/>
    <n v="2.5"/>
    <n v="12.5"/>
  </r>
  <r>
    <n v="1052"/>
    <x v="42"/>
    <x v="0"/>
    <x v="1"/>
    <x v="1"/>
    <n v="6"/>
    <n v="2"/>
    <n v="12"/>
  </r>
  <r>
    <n v="1053"/>
    <x v="43"/>
    <x v="1"/>
    <x v="2"/>
    <x v="2"/>
    <n v="3"/>
    <n v="2.5"/>
    <n v="7.5"/>
  </r>
  <r>
    <n v="1054"/>
    <x v="44"/>
    <x v="2"/>
    <x v="7"/>
    <x v="0"/>
    <n v="1"/>
    <n v="2.1"/>
    <n v="2.1"/>
  </r>
  <r>
    <n v="1055"/>
    <x v="45"/>
    <x v="0"/>
    <x v="0"/>
    <x v="0"/>
    <n v="6"/>
    <n v="3.2"/>
    <n v="19.2"/>
  </r>
  <r>
    <n v="1056"/>
    <x v="10"/>
    <x v="2"/>
    <x v="8"/>
    <x v="2"/>
    <n v="6"/>
    <n v="3.8"/>
    <n v="22.8"/>
  </r>
  <r>
    <n v="1057"/>
    <x v="46"/>
    <x v="2"/>
    <x v="1"/>
    <x v="1"/>
    <n v="1"/>
    <n v="2"/>
    <n v="2"/>
  </r>
  <r>
    <n v="1058"/>
    <x v="47"/>
    <x v="2"/>
    <x v="8"/>
    <x v="2"/>
    <n v="6"/>
    <n v="3.8"/>
    <n v="22.8"/>
  </r>
  <r>
    <n v="1059"/>
    <x v="48"/>
    <x v="2"/>
    <x v="1"/>
    <x v="1"/>
    <n v="1"/>
    <n v="2"/>
    <n v="2"/>
  </r>
  <r>
    <n v="1060"/>
    <x v="49"/>
    <x v="2"/>
    <x v="8"/>
    <x v="2"/>
    <n v="2"/>
    <n v="3.8"/>
    <n v="7.6"/>
  </r>
  <r>
    <n v="1061"/>
    <x v="50"/>
    <x v="0"/>
    <x v="8"/>
    <x v="2"/>
    <n v="4"/>
    <n v="3.8"/>
    <n v="15.2"/>
  </r>
  <r>
    <n v="1062"/>
    <x v="51"/>
    <x v="0"/>
    <x v="4"/>
    <x v="1"/>
    <n v="5"/>
    <n v="2.7"/>
    <n v="13.5"/>
  </r>
  <r>
    <n v="1063"/>
    <x v="52"/>
    <x v="1"/>
    <x v="8"/>
    <x v="2"/>
    <n v="1"/>
    <n v="3.8"/>
    <n v="3.8"/>
  </r>
  <r>
    <n v="1064"/>
    <x v="15"/>
    <x v="2"/>
    <x v="6"/>
    <x v="4"/>
    <n v="5"/>
    <n v="3"/>
    <n v="15"/>
  </r>
  <r>
    <n v="1065"/>
    <x v="53"/>
    <x v="2"/>
    <x v="8"/>
    <x v="2"/>
    <n v="2"/>
    <n v="3.8"/>
    <n v="7.6"/>
  </r>
  <r>
    <n v="1066"/>
    <x v="54"/>
    <x v="3"/>
    <x v="5"/>
    <x v="3"/>
    <n v="6"/>
    <n v="4.2"/>
    <n v="25.2"/>
  </r>
  <r>
    <n v="1067"/>
    <x v="2"/>
    <x v="0"/>
    <x v="1"/>
    <x v="1"/>
    <n v="6"/>
    <n v="2"/>
    <n v="12"/>
  </r>
  <r>
    <n v="1068"/>
    <x v="55"/>
    <x v="2"/>
    <x v="9"/>
    <x v="4"/>
    <n v="2"/>
    <n v="2.4"/>
    <n v="4.8"/>
  </r>
  <r>
    <n v="1069"/>
    <x v="11"/>
    <x v="0"/>
    <x v="2"/>
    <x v="2"/>
    <n v="4"/>
    <n v="2.5"/>
    <n v="10"/>
  </r>
  <r>
    <n v="1070"/>
    <x v="6"/>
    <x v="1"/>
    <x v="1"/>
    <x v="1"/>
    <n v="2"/>
    <n v="2"/>
    <n v="4"/>
  </r>
  <r>
    <n v="1071"/>
    <x v="56"/>
    <x v="2"/>
    <x v="5"/>
    <x v="3"/>
    <n v="2"/>
    <n v="4.2"/>
    <n v="8.4"/>
  </r>
  <r>
    <n v="1072"/>
    <x v="57"/>
    <x v="2"/>
    <x v="5"/>
    <x v="3"/>
    <n v="2"/>
    <n v="4.2"/>
    <n v="8.4"/>
  </r>
  <r>
    <n v="1073"/>
    <x v="7"/>
    <x v="0"/>
    <x v="0"/>
    <x v="0"/>
    <n v="4"/>
    <n v="3.2"/>
    <n v="12.8"/>
  </r>
  <r>
    <n v="1074"/>
    <x v="28"/>
    <x v="0"/>
    <x v="1"/>
    <x v="1"/>
    <n v="3"/>
    <n v="2"/>
    <n v="6"/>
  </r>
  <r>
    <n v="1075"/>
    <x v="58"/>
    <x v="3"/>
    <x v="4"/>
    <x v="1"/>
    <n v="6"/>
    <n v="2.7"/>
    <n v="16.2"/>
  </r>
  <r>
    <n v="1076"/>
    <x v="59"/>
    <x v="2"/>
    <x v="4"/>
    <x v="1"/>
    <n v="6"/>
    <n v="2.7"/>
    <n v="16.2"/>
  </r>
  <r>
    <n v="1077"/>
    <x v="53"/>
    <x v="3"/>
    <x v="6"/>
    <x v="4"/>
    <n v="5"/>
    <n v="3"/>
    <n v="15"/>
  </r>
  <r>
    <n v="1078"/>
    <x v="57"/>
    <x v="3"/>
    <x v="6"/>
    <x v="4"/>
    <n v="2"/>
    <n v="3"/>
    <n v="6"/>
  </r>
  <r>
    <n v="1079"/>
    <x v="60"/>
    <x v="1"/>
    <x v="6"/>
    <x v="4"/>
    <n v="2"/>
    <n v="3"/>
    <n v="6"/>
  </r>
  <r>
    <n v="1080"/>
    <x v="61"/>
    <x v="2"/>
    <x v="0"/>
    <x v="0"/>
    <n v="1"/>
    <n v="3.2"/>
    <n v="3.2"/>
  </r>
  <r>
    <n v="1081"/>
    <x v="62"/>
    <x v="3"/>
    <x v="6"/>
    <x v="4"/>
    <n v="4"/>
    <n v="3"/>
    <n v="12"/>
  </r>
  <r>
    <n v="1082"/>
    <x v="63"/>
    <x v="2"/>
    <x v="1"/>
    <x v="1"/>
    <n v="6"/>
    <n v="2"/>
    <n v="12"/>
  </r>
  <r>
    <n v="1083"/>
    <x v="64"/>
    <x v="2"/>
    <x v="1"/>
    <x v="1"/>
    <n v="6"/>
    <n v="2"/>
    <n v="12"/>
  </r>
  <r>
    <n v="1084"/>
    <x v="65"/>
    <x v="0"/>
    <x v="1"/>
    <x v="1"/>
    <n v="2"/>
    <n v="2"/>
    <n v="4"/>
  </r>
  <r>
    <n v="1085"/>
    <x v="66"/>
    <x v="3"/>
    <x v="0"/>
    <x v="0"/>
    <n v="6"/>
    <n v="3.2"/>
    <n v="19.2"/>
  </r>
  <r>
    <n v="1086"/>
    <x v="44"/>
    <x v="1"/>
    <x v="0"/>
    <x v="0"/>
    <n v="5"/>
    <n v="3.2"/>
    <n v="16"/>
  </r>
  <r>
    <n v="1087"/>
    <x v="67"/>
    <x v="0"/>
    <x v="7"/>
    <x v="0"/>
    <n v="3"/>
    <n v="2.1"/>
    <n v="6.3"/>
  </r>
  <r>
    <n v="1088"/>
    <x v="6"/>
    <x v="1"/>
    <x v="9"/>
    <x v="4"/>
    <n v="6"/>
    <n v="2.4"/>
    <n v="14.4"/>
  </r>
  <r>
    <n v="1089"/>
    <x v="65"/>
    <x v="3"/>
    <x v="9"/>
    <x v="4"/>
    <n v="2"/>
    <n v="2.4"/>
    <n v="4.8"/>
  </r>
  <r>
    <n v="1090"/>
    <x v="68"/>
    <x v="3"/>
    <x v="5"/>
    <x v="3"/>
    <n v="3"/>
    <n v="4.2"/>
    <n v="12.6"/>
  </r>
  <r>
    <n v="1091"/>
    <x v="69"/>
    <x v="1"/>
    <x v="8"/>
    <x v="2"/>
    <n v="5"/>
    <n v="3.8"/>
    <n v="19"/>
  </r>
  <r>
    <n v="1092"/>
    <x v="70"/>
    <x v="0"/>
    <x v="1"/>
    <x v="1"/>
    <n v="4"/>
    <n v="2"/>
    <n v="8"/>
  </r>
  <r>
    <n v="1093"/>
    <x v="51"/>
    <x v="0"/>
    <x v="2"/>
    <x v="2"/>
    <n v="3"/>
    <n v="2.5"/>
    <n v="7.5"/>
  </r>
  <r>
    <n v="1094"/>
    <x v="71"/>
    <x v="0"/>
    <x v="4"/>
    <x v="1"/>
    <n v="5"/>
    <n v="2.7"/>
    <n v="13.5"/>
  </r>
  <r>
    <n v="1095"/>
    <x v="72"/>
    <x v="1"/>
    <x v="6"/>
    <x v="4"/>
    <n v="6"/>
    <n v="3"/>
    <n v="18"/>
  </r>
  <r>
    <n v="1096"/>
    <x v="73"/>
    <x v="0"/>
    <x v="9"/>
    <x v="4"/>
    <n v="4"/>
    <n v="2.4"/>
    <n v="9.6"/>
  </r>
  <r>
    <n v="1097"/>
    <x v="74"/>
    <x v="1"/>
    <x v="8"/>
    <x v="2"/>
    <n v="1"/>
    <n v="3.8"/>
    <n v="3.8"/>
  </r>
  <r>
    <n v="1098"/>
    <x v="66"/>
    <x v="3"/>
    <x v="9"/>
    <x v="4"/>
    <n v="5"/>
    <n v="2.4"/>
    <n v="12"/>
  </r>
  <r>
    <n v="1099"/>
    <x v="64"/>
    <x v="3"/>
    <x v="2"/>
    <x v="2"/>
    <n v="4"/>
    <n v="2.5"/>
    <n v="10"/>
  </r>
  <r>
    <n v="1100"/>
    <x v="75"/>
    <x v="2"/>
    <x v="5"/>
    <x v="3"/>
    <n v="2"/>
    <n v="4.2"/>
    <n v="8.4"/>
  </r>
  <r>
    <n v="1101"/>
    <x v="65"/>
    <x v="0"/>
    <x v="4"/>
    <x v="1"/>
    <n v="2"/>
    <n v="2.7"/>
    <n v="5.4"/>
  </r>
  <r>
    <n v="1102"/>
    <x v="76"/>
    <x v="2"/>
    <x v="5"/>
    <x v="3"/>
    <n v="2"/>
    <n v="4.2"/>
    <n v="8.4"/>
  </r>
  <r>
    <n v="1103"/>
    <x v="77"/>
    <x v="3"/>
    <x v="4"/>
    <x v="1"/>
    <n v="5"/>
    <n v="2.7"/>
    <n v="13.5"/>
  </r>
  <r>
    <n v="1104"/>
    <x v="78"/>
    <x v="3"/>
    <x v="6"/>
    <x v="4"/>
    <n v="4"/>
    <n v="3"/>
    <n v="12"/>
  </r>
  <r>
    <n v="1105"/>
    <x v="79"/>
    <x v="2"/>
    <x v="0"/>
    <x v="0"/>
    <n v="6"/>
    <n v="3.2"/>
    <n v="19.2"/>
  </r>
  <r>
    <n v="1106"/>
    <x v="80"/>
    <x v="1"/>
    <x v="9"/>
    <x v="4"/>
    <n v="3"/>
    <n v="2.4"/>
    <n v="7.2"/>
  </r>
  <r>
    <n v="1107"/>
    <x v="43"/>
    <x v="0"/>
    <x v="0"/>
    <x v="0"/>
    <n v="1"/>
    <n v="3.2"/>
    <n v="3.2"/>
  </r>
  <r>
    <n v="1108"/>
    <x v="81"/>
    <x v="1"/>
    <x v="0"/>
    <x v="0"/>
    <n v="4"/>
    <n v="3.2"/>
    <n v="12.8"/>
  </r>
  <r>
    <n v="1109"/>
    <x v="12"/>
    <x v="0"/>
    <x v="3"/>
    <x v="3"/>
    <n v="4"/>
    <n v="6.5"/>
    <n v="26"/>
  </r>
  <r>
    <n v="1110"/>
    <x v="82"/>
    <x v="1"/>
    <x v="7"/>
    <x v="0"/>
    <n v="6"/>
    <n v="2.1"/>
    <n v="12.6"/>
  </r>
  <r>
    <n v="1111"/>
    <x v="39"/>
    <x v="0"/>
    <x v="5"/>
    <x v="3"/>
    <n v="1"/>
    <n v="4.2"/>
    <n v="4.2"/>
  </r>
  <r>
    <n v="1112"/>
    <x v="83"/>
    <x v="3"/>
    <x v="0"/>
    <x v="0"/>
    <n v="1"/>
    <n v="3.2"/>
    <n v="3.2"/>
  </r>
  <r>
    <n v="1113"/>
    <x v="84"/>
    <x v="0"/>
    <x v="4"/>
    <x v="1"/>
    <n v="6"/>
    <n v="2.7"/>
    <n v="16.2"/>
  </r>
  <r>
    <n v="1114"/>
    <x v="85"/>
    <x v="3"/>
    <x v="6"/>
    <x v="4"/>
    <n v="2"/>
    <n v="3"/>
    <n v="6"/>
  </r>
  <r>
    <n v="1115"/>
    <x v="86"/>
    <x v="0"/>
    <x v="7"/>
    <x v="0"/>
    <n v="1"/>
    <n v="2.1"/>
    <n v="2.1"/>
  </r>
  <r>
    <n v="1116"/>
    <x v="87"/>
    <x v="0"/>
    <x v="9"/>
    <x v="4"/>
    <n v="6"/>
    <n v="2.4"/>
    <n v="14.4"/>
  </r>
  <r>
    <n v="1117"/>
    <x v="19"/>
    <x v="1"/>
    <x v="2"/>
    <x v="2"/>
    <n v="1"/>
    <n v="2.5"/>
    <n v="2.5"/>
  </r>
  <r>
    <n v="1118"/>
    <x v="84"/>
    <x v="1"/>
    <x v="0"/>
    <x v="0"/>
    <n v="4"/>
    <n v="3.2"/>
    <n v="12.8"/>
  </r>
  <r>
    <n v="1119"/>
    <x v="72"/>
    <x v="1"/>
    <x v="7"/>
    <x v="0"/>
    <n v="3"/>
    <n v="2.1"/>
    <n v="6.3"/>
  </r>
  <r>
    <n v="1120"/>
    <x v="88"/>
    <x v="1"/>
    <x v="2"/>
    <x v="2"/>
    <n v="4"/>
    <n v="2.5"/>
    <n v="10"/>
  </r>
  <r>
    <n v="1121"/>
    <x v="84"/>
    <x v="1"/>
    <x v="1"/>
    <x v="1"/>
    <n v="6"/>
    <n v="2"/>
    <n v="12"/>
  </r>
  <r>
    <n v="1122"/>
    <x v="89"/>
    <x v="2"/>
    <x v="4"/>
    <x v="1"/>
    <n v="3"/>
    <n v="2.7"/>
    <n v="8.1"/>
  </r>
  <r>
    <n v="1123"/>
    <x v="78"/>
    <x v="3"/>
    <x v="0"/>
    <x v="0"/>
    <n v="4"/>
    <n v="3.2"/>
    <n v="12.8"/>
  </r>
  <r>
    <n v="1124"/>
    <x v="50"/>
    <x v="1"/>
    <x v="3"/>
    <x v="3"/>
    <n v="5"/>
    <n v="6.5"/>
    <n v="32.5"/>
  </r>
  <r>
    <n v="1125"/>
    <x v="90"/>
    <x v="3"/>
    <x v="3"/>
    <x v="3"/>
    <n v="2"/>
    <n v="6.5"/>
    <n v="13"/>
  </r>
  <r>
    <n v="1126"/>
    <x v="60"/>
    <x v="1"/>
    <x v="7"/>
    <x v="0"/>
    <n v="3"/>
    <n v="2.1"/>
    <n v="6.3"/>
  </r>
  <r>
    <n v="1127"/>
    <x v="91"/>
    <x v="3"/>
    <x v="5"/>
    <x v="3"/>
    <n v="1"/>
    <n v="4.2"/>
    <n v="4.2"/>
  </r>
  <r>
    <n v="1128"/>
    <x v="78"/>
    <x v="3"/>
    <x v="3"/>
    <x v="3"/>
    <n v="2"/>
    <n v="6.5"/>
    <n v="13"/>
  </r>
  <r>
    <n v="1129"/>
    <x v="92"/>
    <x v="2"/>
    <x v="3"/>
    <x v="3"/>
    <n v="6"/>
    <n v="6.5"/>
    <n v="39"/>
  </r>
  <r>
    <n v="1130"/>
    <x v="7"/>
    <x v="3"/>
    <x v="9"/>
    <x v="4"/>
    <n v="2"/>
    <n v="2.4"/>
    <n v="4.8"/>
  </r>
  <r>
    <n v="1131"/>
    <x v="72"/>
    <x v="0"/>
    <x v="4"/>
    <x v="1"/>
    <n v="1"/>
    <n v="2.7"/>
    <n v="2.7"/>
  </r>
  <r>
    <n v="1132"/>
    <x v="93"/>
    <x v="1"/>
    <x v="2"/>
    <x v="2"/>
    <n v="6"/>
    <n v="2.5"/>
    <n v="15"/>
  </r>
  <r>
    <n v="1133"/>
    <x v="55"/>
    <x v="2"/>
    <x v="4"/>
    <x v="1"/>
    <n v="6"/>
    <n v="2.7"/>
    <n v="16.2"/>
  </r>
  <r>
    <n v="1134"/>
    <x v="94"/>
    <x v="3"/>
    <x v="5"/>
    <x v="3"/>
    <n v="6"/>
    <n v="4.2"/>
    <n v="25.2"/>
  </r>
  <r>
    <n v="1135"/>
    <x v="13"/>
    <x v="0"/>
    <x v="0"/>
    <x v="0"/>
    <n v="3"/>
    <n v="3.2"/>
    <n v="9.6"/>
  </r>
  <r>
    <n v="1136"/>
    <x v="60"/>
    <x v="3"/>
    <x v="9"/>
    <x v="4"/>
    <n v="6"/>
    <n v="2.4"/>
    <n v="14.4"/>
  </r>
  <r>
    <n v="1137"/>
    <x v="95"/>
    <x v="1"/>
    <x v="4"/>
    <x v="1"/>
    <n v="6"/>
    <n v="2.7"/>
    <n v="16.2"/>
  </r>
  <r>
    <n v="1138"/>
    <x v="25"/>
    <x v="0"/>
    <x v="4"/>
    <x v="1"/>
    <n v="2"/>
    <n v="2.7"/>
    <n v="5.4"/>
  </r>
  <r>
    <n v="1139"/>
    <x v="96"/>
    <x v="1"/>
    <x v="5"/>
    <x v="3"/>
    <n v="1"/>
    <n v="4.2"/>
    <n v="4.2"/>
  </r>
  <r>
    <n v="1140"/>
    <x v="97"/>
    <x v="3"/>
    <x v="2"/>
    <x v="2"/>
    <n v="2"/>
    <n v="2.5"/>
    <n v="5"/>
  </r>
  <r>
    <n v="1141"/>
    <x v="62"/>
    <x v="0"/>
    <x v="7"/>
    <x v="0"/>
    <n v="5"/>
    <n v="2.1"/>
    <n v="10.5"/>
  </r>
  <r>
    <n v="1142"/>
    <x v="92"/>
    <x v="0"/>
    <x v="6"/>
    <x v="4"/>
    <n v="1"/>
    <n v="3"/>
    <n v="3"/>
  </r>
  <r>
    <n v="1143"/>
    <x v="98"/>
    <x v="0"/>
    <x v="1"/>
    <x v="1"/>
    <n v="3"/>
    <n v="2"/>
    <n v="6"/>
  </r>
  <r>
    <n v="1144"/>
    <x v="43"/>
    <x v="1"/>
    <x v="3"/>
    <x v="3"/>
    <n v="3"/>
    <n v="6.5"/>
    <n v="19.5"/>
  </r>
  <r>
    <n v="1145"/>
    <x v="99"/>
    <x v="1"/>
    <x v="1"/>
    <x v="1"/>
    <n v="3"/>
    <n v="2"/>
    <n v="6"/>
  </r>
  <r>
    <n v="1146"/>
    <x v="72"/>
    <x v="0"/>
    <x v="8"/>
    <x v="2"/>
    <n v="5"/>
    <n v="3.8"/>
    <n v="19"/>
  </r>
  <r>
    <n v="1147"/>
    <x v="100"/>
    <x v="3"/>
    <x v="5"/>
    <x v="3"/>
    <n v="3"/>
    <n v="4.2"/>
    <n v="12.6"/>
  </r>
  <r>
    <n v="1148"/>
    <x v="101"/>
    <x v="2"/>
    <x v="8"/>
    <x v="2"/>
    <n v="5"/>
    <n v="3.8"/>
    <n v="19"/>
  </r>
  <r>
    <n v="1149"/>
    <x v="7"/>
    <x v="3"/>
    <x v="0"/>
    <x v="0"/>
    <n v="2"/>
    <n v="3.2"/>
    <n v="6.4"/>
  </r>
  <r>
    <n v="1150"/>
    <x v="90"/>
    <x v="2"/>
    <x v="2"/>
    <x v="2"/>
    <n v="5"/>
    <n v="2.5"/>
    <n v="12.5"/>
  </r>
  <r>
    <n v="1151"/>
    <x v="102"/>
    <x v="1"/>
    <x v="4"/>
    <x v="1"/>
    <n v="2"/>
    <n v="2.7"/>
    <n v="5.4"/>
  </r>
  <r>
    <n v="1152"/>
    <x v="54"/>
    <x v="1"/>
    <x v="5"/>
    <x v="3"/>
    <n v="4"/>
    <n v="4.2"/>
    <n v="16.8"/>
  </r>
  <r>
    <n v="1153"/>
    <x v="83"/>
    <x v="0"/>
    <x v="1"/>
    <x v="1"/>
    <n v="2"/>
    <n v="2"/>
    <n v="4"/>
  </r>
  <r>
    <n v="1154"/>
    <x v="10"/>
    <x v="1"/>
    <x v="1"/>
    <x v="1"/>
    <n v="3"/>
    <n v="2"/>
    <n v="6"/>
  </r>
  <r>
    <n v="1155"/>
    <x v="38"/>
    <x v="0"/>
    <x v="0"/>
    <x v="0"/>
    <n v="4"/>
    <n v="3.2"/>
    <n v="12.8"/>
  </r>
  <r>
    <n v="1156"/>
    <x v="103"/>
    <x v="2"/>
    <x v="5"/>
    <x v="3"/>
    <n v="3"/>
    <n v="4.2"/>
    <n v="12.6"/>
  </r>
  <r>
    <n v="1157"/>
    <x v="28"/>
    <x v="3"/>
    <x v="9"/>
    <x v="4"/>
    <n v="5"/>
    <n v="2.4"/>
    <n v="12"/>
  </r>
  <r>
    <n v="1158"/>
    <x v="104"/>
    <x v="3"/>
    <x v="7"/>
    <x v="0"/>
    <n v="4"/>
    <n v="2.1"/>
    <n v="8.4"/>
  </r>
  <r>
    <n v="1159"/>
    <x v="105"/>
    <x v="0"/>
    <x v="7"/>
    <x v="0"/>
    <n v="2"/>
    <n v="2.1"/>
    <n v="4.2"/>
  </r>
  <r>
    <n v="1160"/>
    <x v="106"/>
    <x v="2"/>
    <x v="8"/>
    <x v="2"/>
    <n v="3"/>
    <n v="3.8"/>
    <n v="11.4"/>
  </r>
  <r>
    <n v="1161"/>
    <x v="107"/>
    <x v="1"/>
    <x v="2"/>
    <x v="2"/>
    <n v="3"/>
    <n v="2.5"/>
    <n v="7.5"/>
  </r>
  <r>
    <n v="1162"/>
    <x v="65"/>
    <x v="3"/>
    <x v="2"/>
    <x v="2"/>
    <n v="1"/>
    <n v="2.5"/>
    <n v="2.5"/>
  </r>
  <r>
    <n v="1163"/>
    <x v="10"/>
    <x v="3"/>
    <x v="4"/>
    <x v="1"/>
    <n v="3"/>
    <n v="2.7"/>
    <n v="8.1"/>
  </r>
  <r>
    <n v="1164"/>
    <x v="8"/>
    <x v="0"/>
    <x v="2"/>
    <x v="2"/>
    <n v="1"/>
    <n v="2.5"/>
    <n v="2.5"/>
  </r>
  <r>
    <n v="1165"/>
    <x v="108"/>
    <x v="2"/>
    <x v="9"/>
    <x v="4"/>
    <n v="2"/>
    <n v="2.4"/>
    <n v="4.8"/>
  </r>
  <r>
    <n v="1166"/>
    <x v="60"/>
    <x v="0"/>
    <x v="4"/>
    <x v="1"/>
    <n v="5"/>
    <n v="2.7"/>
    <n v="13.5"/>
  </r>
  <r>
    <n v="1167"/>
    <x v="109"/>
    <x v="2"/>
    <x v="0"/>
    <x v="0"/>
    <n v="5"/>
    <n v="3.2"/>
    <n v="16"/>
  </r>
  <r>
    <n v="1168"/>
    <x v="99"/>
    <x v="1"/>
    <x v="3"/>
    <x v="3"/>
    <n v="1"/>
    <n v="6.5"/>
    <n v="6.5"/>
  </r>
  <r>
    <n v="1169"/>
    <x v="110"/>
    <x v="3"/>
    <x v="1"/>
    <x v="1"/>
    <n v="6"/>
    <n v="2"/>
    <n v="12"/>
  </r>
  <r>
    <n v="1170"/>
    <x v="39"/>
    <x v="0"/>
    <x v="0"/>
    <x v="0"/>
    <n v="2"/>
    <n v="3.2"/>
    <n v="6.4"/>
  </r>
  <r>
    <n v="1171"/>
    <x v="111"/>
    <x v="2"/>
    <x v="8"/>
    <x v="2"/>
    <n v="3"/>
    <n v="3.8"/>
    <n v="11.4"/>
  </r>
  <r>
    <n v="1172"/>
    <x v="42"/>
    <x v="3"/>
    <x v="9"/>
    <x v="4"/>
    <n v="3"/>
    <n v="2.4"/>
    <n v="7.2"/>
  </r>
  <r>
    <n v="1173"/>
    <x v="112"/>
    <x v="3"/>
    <x v="3"/>
    <x v="3"/>
    <n v="6"/>
    <n v="6.5"/>
    <n v="39"/>
  </r>
  <r>
    <n v="1174"/>
    <x v="113"/>
    <x v="2"/>
    <x v="7"/>
    <x v="0"/>
    <n v="2"/>
    <n v="2.1"/>
    <n v="4.2"/>
  </r>
  <r>
    <n v="1175"/>
    <x v="0"/>
    <x v="3"/>
    <x v="7"/>
    <x v="0"/>
    <n v="5"/>
    <n v="2.1"/>
    <n v="10.5"/>
  </r>
  <r>
    <n v="1176"/>
    <x v="114"/>
    <x v="1"/>
    <x v="3"/>
    <x v="3"/>
    <n v="6"/>
    <n v="6.5"/>
    <n v="39"/>
  </r>
  <r>
    <n v="1177"/>
    <x v="47"/>
    <x v="1"/>
    <x v="4"/>
    <x v="1"/>
    <n v="1"/>
    <n v="2.7"/>
    <n v="2.7"/>
  </r>
  <r>
    <n v="1178"/>
    <x v="115"/>
    <x v="3"/>
    <x v="2"/>
    <x v="2"/>
    <n v="2"/>
    <n v="2.5"/>
    <n v="5"/>
  </r>
  <r>
    <n v="1179"/>
    <x v="116"/>
    <x v="2"/>
    <x v="2"/>
    <x v="2"/>
    <n v="6"/>
    <n v="2.5"/>
    <n v="15"/>
  </r>
  <r>
    <n v="1180"/>
    <x v="100"/>
    <x v="2"/>
    <x v="0"/>
    <x v="0"/>
    <n v="2"/>
    <n v="3.2"/>
    <n v="6.4"/>
  </r>
  <r>
    <n v="1181"/>
    <x v="66"/>
    <x v="0"/>
    <x v="8"/>
    <x v="2"/>
    <n v="5"/>
    <n v="3.8"/>
    <n v="19"/>
  </r>
  <r>
    <n v="1182"/>
    <x v="117"/>
    <x v="3"/>
    <x v="5"/>
    <x v="3"/>
    <n v="2"/>
    <n v="4.2"/>
    <n v="8.4"/>
  </r>
  <r>
    <n v="1183"/>
    <x v="42"/>
    <x v="3"/>
    <x v="4"/>
    <x v="1"/>
    <n v="2"/>
    <n v="2.7"/>
    <n v="5.4"/>
  </r>
  <r>
    <n v="1184"/>
    <x v="84"/>
    <x v="3"/>
    <x v="8"/>
    <x v="2"/>
    <n v="4"/>
    <n v="3.8"/>
    <n v="15.2"/>
  </r>
  <r>
    <n v="1185"/>
    <x v="118"/>
    <x v="1"/>
    <x v="2"/>
    <x v="2"/>
    <n v="5"/>
    <n v="2.5"/>
    <n v="12.5"/>
  </r>
  <r>
    <n v="1186"/>
    <x v="114"/>
    <x v="2"/>
    <x v="4"/>
    <x v="1"/>
    <n v="5"/>
    <n v="2.7"/>
    <n v="13.5"/>
  </r>
  <r>
    <n v="1187"/>
    <x v="58"/>
    <x v="0"/>
    <x v="3"/>
    <x v="3"/>
    <n v="4"/>
    <n v="6.5"/>
    <n v="26"/>
  </r>
  <r>
    <n v="1188"/>
    <x v="26"/>
    <x v="3"/>
    <x v="4"/>
    <x v="1"/>
    <n v="3"/>
    <n v="2.7"/>
    <n v="8.1"/>
  </r>
  <r>
    <n v="1189"/>
    <x v="119"/>
    <x v="2"/>
    <x v="8"/>
    <x v="2"/>
    <n v="1"/>
    <n v="3.8"/>
    <n v="3.8"/>
  </r>
  <r>
    <n v="1190"/>
    <x v="3"/>
    <x v="1"/>
    <x v="5"/>
    <x v="3"/>
    <n v="1"/>
    <n v="4.2"/>
    <n v="4.2"/>
  </r>
  <r>
    <n v="1191"/>
    <x v="120"/>
    <x v="0"/>
    <x v="6"/>
    <x v="4"/>
    <n v="5"/>
    <n v="3"/>
    <n v="15"/>
  </r>
  <r>
    <n v="1192"/>
    <x v="5"/>
    <x v="0"/>
    <x v="1"/>
    <x v="1"/>
    <n v="2"/>
    <n v="2"/>
    <n v="4"/>
  </r>
  <r>
    <n v="1193"/>
    <x v="94"/>
    <x v="2"/>
    <x v="6"/>
    <x v="4"/>
    <n v="4"/>
    <n v="3"/>
    <n v="12"/>
  </r>
  <r>
    <n v="1194"/>
    <x v="84"/>
    <x v="1"/>
    <x v="9"/>
    <x v="4"/>
    <n v="1"/>
    <n v="2.4"/>
    <n v="2.4"/>
  </r>
  <r>
    <n v="1195"/>
    <x v="43"/>
    <x v="2"/>
    <x v="5"/>
    <x v="3"/>
    <n v="3"/>
    <n v="4.2"/>
    <n v="12.6"/>
  </r>
  <r>
    <n v="1196"/>
    <x v="7"/>
    <x v="2"/>
    <x v="2"/>
    <x v="2"/>
    <n v="5"/>
    <n v="2.5"/>
    <n v="12.5"/>
  </r>
  <r>
    <n v="1197"/>
    <x v="114"/>
    <x v="1"/>
    <x v="3"/>
    <x v="3"/>
    <n v="2"/>
    <n v="6.5"/>
    <n v="13"/>
  </r>
  <r>
    <n v="1198"/>
    <x v="73"/>
    <x v="1"/>
    <x v="3"/>
    <x v="3"/>
    <n v="4"/>
    <n v="6.5"/>
    <n v="26"/>
  </r>
  <r>
    <n v="1199"/>
    <x v="26"/>
    <x v="2"/>
    <x v="4"/>
    <x v="1"/>
    <n v="1"/>
    <n v="2.7"/>
    <n v="2.7"/>
  </r>
  <r>
    <n v="1200"/>
    <x v="121"/>
    <x v="2"/>
    <x v="8"/>
    <x v="2"/>
    <n v="1"/>
    <n v="3.8"/>
    <n v="3.8"/>
  </r>
  <r>
    <n v="1201"/>
    <x v="122"/>
    <x v="2"/>
    <x v="9"/>
    <x v="4"/>
    <n v="5"/>
    <n v="2.4"/>
    <n v="12"/>
  </r>
  <r>
    <n v="1202"/>
    <x v="26"/>
    <x v="1"/>
    <x v="4"/>
    <x v="1"/>
    <n v="4"/>
    <n v="2.7"/>
    <n v="10.8"/>
  </r>
  <r>
    <n v="1203"/>
    <x v="9"/>
    <x v="2"/>
    <x v="6"/>
    <x v="4"/>
    <n v="2"/>
    <n v="3"/>
    <n v="6"/>
  </r>
  <r>
    <n v="1204"/>
    <x v="52"/>
    <x v="2"/>
    <x v="9"/>
    <x v="4"/>
    <n v="4"/>
    <n v="2.4"/>
    <n v="9.6"/>
  </r>
  <r>
    <n v="1205"/>
    <x v="74"/>
    <x v="2"/>
    <x v="7"/>
    <x v="0"/>
    <n v="4"/>
    <n v="2.1"/>
    <n v="8.4"/>
  </r>
  <r>
    <n v="1206"/>
    <x v="46"/>
    <x v="1"/>
    <x v="4"/>
    <x v="1"/>
    <n v="4"/>
    <n v="2.7"/>
    <n v="10.8"/>
  </r>
  <r>
    <n v="1207"/>
    <x v="59"/>
    <x v="0"/>
    <x v="0"/>
    <x v="0"/>
    <n v="4"/>
    <n v="3.2"/>
    <n v="12.8"/>
  </r>
  <r>
    <n v="1208"/>
    <x v="123"/>
    <x v="2"/>
    <x v="8"/>
    <x v="2"/>
    <n v="6"/>
    <n v="3.8"/>
    <n v="22.8"/>
  </r>
  <r>
    <n v="1209"/>
    <x v="75"/>
    <x v="3"/>
    <x v="9"/>
    <x v="4"/>
    <n v="6"/>
    <n v="2.4"/>
    <n v="14.4"/>
  </r>
  <r>
    <n v="1210"/>
    <x v="124"/>
    <x v="1"/>
    <x v="4"/>
    <x v="1"/>
    <n v="6"/>
    <n v="2.7"/>
    <n v="16.2"/>
  </r>
  <r>
    <n v="1211"/>
    <x v="37"/>
    <x v="1"/>
    <x v="5"/>
    <x v="3"/>
    <n v="2"/>
    <n v="4.2"/>
    <n v="8.4"/>
  </r>
  <r>
    <n v="1212"/>
    <x v="102"/>
    <x v="2"/>
    <x v="7"/>
    <x v="0"/>
    <n v="6"/>
    <n v="2.1"/>
    <n v="12.6"/>
  </r>
  <r>
    <n v="1213"/>
    <x v="125"/>
    <x v="0"/>
    <x v="9"/>
    <x v="4"/>
    <n v="1"/>
    <n v="2.4"/>
    <n v="2.4"/>
  </r>
  <r>
    <n v="1214"/>
    <x v="5"/>
    <x v="0"/>
    <x v="8"/>
    <x v="2"/>
    <n v="5"/>
    <n v="3.8"/>
    <n v="19"/>
  </r>
  <r>
    <n v="1215"/>
    <x v="37"/>
    <x v="0"/>
    <x v="6"/>
    <x v="4"/>
    <n v="4"/>
    <n v="3"/>
    <n v="12"/>
  </r>
  <r>
    <n v="1216"/>
    <x v="106"/>
    <x v="3"/>
    <x v="9"/>
    <x v="4"/>
    <n v="6"/>
    <n v="2.4"/>
    <n v="14.4"/>
  </r>
  <r>
    <n v="1217"/>
    <x v="81"/>
    <x v="3"/>
    <x v="8"/>
    <x v="2"/>
    <n v="5"/>
    <n v="3.8"/>
    <n v="19"/>
  </r>
  <r>
    <n v="1218"/>
    <x v="115"/>
    <x v="0"/>
    <x v="9"/>
    <x v="4"/>
    <n v="2"/>
    <n v="2.4"/>
    <n v="4.8"/>
  </r>
  <r>
    <n v="1219"/>
    <x v="96"/>
    <x v="1"/>
    <x v="8"/>
    <x v="2"/>
    <n v="3"/>
    <n v="3.8"/>
    <n v="11.4"/>
  </r>
  <r>
    <n v="1220"/>
    <x v="18"/>
    <x v="3"/>
    <x v="9"/>
    <x v="4"/>
    <n v="1"/>
    <n v="2.4"/>
    <n v="2.4"/>
  </r>
  <r>
    <n v="1221"/>
    <x v="126"/>
    <x v="0"/>
    <x v="9"/>
    <x v="4"/>
    <n v="5"/>
    <n v="2.4"/>
    <n v="12"/>
  </r>
  <r>
    <n v="1222"/>
    <x v="127"/>
    <x v="0"/>
    <x v="1"/>
    <x v="1"/>
    <n v="2"/>
    <n v="2"/>
    <n v="4"/>
  </r>
  <r>
    <n v="1223"/>
    <x v="128"/>
    <x v="2"/>
    <x v="2"/>
    <x v="2"/>
    <n v="4"/>
    <n v="2.5"/>
    <n v="10"/>
  </r>
  <r>
    <n v="1224"/>
    <x v="120"/>
    <x v="2"/>
    <x v="6"/>
    <x v="4"/>
    <n v="1"/>
    <n v="3"/>
    <n v="3"/>
  </r>
  <r>
    <n v="1225"/>
    <x v="114"/>
    <x v="2"/>
    <x v="7"/>
    <x v="0"/>
    <n v="3"/>
    <n v="2.1"/>
    <n v="6.3"/>
  </r>
  <r>
    <n v="1226"/>
    <x v="78"/>
    <x v="0"/>
    <x v="1"/>
    <x v="1"/>
    <n v="1"/>
    <n v="2"/>
    <n v="2"/>
  </r>
  <r>
    <n v="1227"/>
    <x v="129"/>
    <x v="1"/>
    <x v="0"/>
    <x v="0"/>
    <n v="5"/>
    <n v="3.2"/>
    <n v="16"/>
  </r>
  <r>
    <n v="1228"/>
    <x v="107"/>
    <x v="2"/>
    <x v="0"/>
    <x v="0"/>
    <n v="3"/>
    <n v="3.2"/>
    <n v="9.6"/>
  </r>
  <r>
    <n v="1229"/>
    <x v="14"/>
    <x v="0"/>
    <x v="5"/>
    <x v="3"/>
    <n v="3"/>
    <n v="4.2"/>
    <n v="12.6"/>
  </r>
  <r>
    <n v="1230"/>
    <x v="50"/>
    <x v="0"/>
    <x v="9"/>
    <x v="4"/>
    <n v="2"/>
    <n v="2.4"/>
    <n v="4.8"/>
  </r>
  <r>
    <n v="1231"/>
    <x v="130"/>
    <x v="1"/>
    <x v="2"/>
    <x v="2"/>
    <n v="1"/>
    <n v="2.5"/>
    <n v="2.5"/>
  </r>
  <r>
    <n v="1232"/>
    <x v="70"/>
    <x v="3"/>
    <x v="9"/>
    <x v="4"/>
    <n v="1"/>
    <n v="2.4"/>
    <n v="2.4"/>
  </r>
  <r>
    <n v="1233"/>
    <x v="131"/>
    <x v="3"/>
    <x v="7"/>
    <x v="0"/>
    <n v="4"/>
    <n v="2.1"/>
    <n v="8.4"/>
  </r>
  <r>
    <n v="1234"/>
    <x v="132"/>
    <x v="2"/>
    <x v="8"/>
    <x v="2"/>
    <n v="6"/>
    <n v="3.8"/>
    <n v="22.8"/>
  </r>
  <r>
    <n v="1235"/>
    <x v="133"/>
    <x v="0"/>
    <x v="2"/>
    <x v="2"/>
    <n v="6"/>
    <n v="2.5"/>
    <n v="15"/>
  </r>
  <r>
    <n v="1236"/>
    <x v="134"/>
    <x v="0"/>
    <x v="2"/>
    <x v="2"/>
    <n v="6"/>
    <n v="2.5"/>
    <n v="15"/>
  </r>
  <r>
    <n v="1237"/>
    <x v="52"/>
    <x v="2"/>
    <x v="8"/>
    <x v="2"/>
    <n v="6"/>
    <n v="3.8"/>
    <n v="22.8"/>
  </r>
  <r>
    <n v="1238"/>
    <x v="56"/>
    <x v="1"/>
    <x v="9"/>
    <x v="4"/>
    <n v="5"/>
    <n v="2.4"/>
    <n v="12"/>
  </r>
  <r>
    <n v="1239"/>
    <x v="135"/>
    <x v="1"/>
    <x v="5"/>
    <x v="3"/>
    <n v="5"/>
    <n v="4.2"/>
    <n v="21"/>
  </r>
  <r>
    <n v="1240"/>
    <x v="29"/>
    <x v="1"/>
    <x v="9"/>
    <x v="4"/>
    <n v="2"/>
    <n v="2.4"/>
    <n v="4.8"/>
  </r>
  <r>
    <n v="1241"/>
    <x v="10"/>
    <x v="3"/>
    <x v="5"/>
    <x v="3"/>
    <n v="1"/>
    <n v="4.2"/>
    <n v="4.2"/>
  </r>
  <r>
    <n v="1242"/>
    <x v="121"/>
    <x v="3"/>
    <x v="0"/>
    <x v="0"/>
    <n v="3"/>
    <n v="3.2"/>
    <n v="9.6"/>
  </r>
  <r>
    <n v="1243"/>
    <x v="136"/>
    <x v="3"/>
    <x v="9"/>
    <x v="4"/>
    <n v="4"/>
    <n v="2.4"/>
    <n v="9.6"/>
  </r>
  <r>
    <n v="1244"/>
    <x v="54"/>
    <x v="2"/>
    <x v="4"/>
    <x v="1"/>
    <n v="5"/>
    <n v="2.7"/>
    <n v="13.5"/>
  </r>
  <r>
    <n v="1245"/>
    <x v="137"/>
    <x v="3"/>
    <x v="2"/>
    <x v="2"/>
    <n v="3"/>
    <n v="2.5"/>
    <n v="7.5"/>
  </r>
  <r>
    <n v="1246"/>
    <x v="113"/>
    <x v="2"/>
    <x v="7"/>
    <x v="0"/>
    <n v="4"/>
    <n v="2.1"/>
    <n v="8.4"/>
  </r>
  <r>
    <n v="1247"/>
    <x v="9"/>
    <x v="3"/>
    <x v="7"/>
    <x v="0"/>
    <n v="5"/>
    <n v="2.1"/>
    <n v="10.5"/>
  </r>
  <r>
    <n v="1248"/>
    <x v="138"/>
    <x v="2"/>
    <x v="0"/>
    <x v="0"/>
    <n v="4"/>
    <n v="3.2"/>
    <n v="12.8"/>
  </r>
  <r>
    <n v="1249"/>
    <x v="120"/>
    <x v="3"/>
    <x v="7"/>
    <x v="0"/>
    <n v="1"/>
    <n v="2.1"/>
    <n v="2.1"/>
  </r>
  <r>
    <n v="1250"/>
    <x v="26"/>
    <x v="3"/>
    <x v="7"/>
    <x v="0"/>
    <n v="1"/>
    <n v="2.1"/>
    <n v="2.1"/>
  </r>
  <r>
    <n v="1251"/>
    <x v="23"/>
    <x v="0"/>
    <x v="2"/>
    <x v="2"/>
    <n v="4"/>
    <n v="2.5"/>
    <n v="10"/>
  </r>
  <r>
    <n v="1252"/>
    <x v="139"/>
    <x v="0"/>
    <x v="6"/>
    <x v="4"/>
    <n v="3"/>
    <n v="3"/>
    <n v="9"/>
  </r>
  <r>
    <n v="1253"/>
    <x v="18"/>
    <x v="2"/>
    <x v="6"/>
    <x v="4"/>
    <n v="6"/>
    <n v="3"/>
    <n v="18"/>
  </r>
  <r>
    <n v="1254"/>
    <x v="91"/>
    <x v="0"/>
    <x v="4"/>
    <x v="1"/>
    <n v="2"/>
    <n v="2.7"/>
    <n v="5.4"/>
  </r>
  <r>
    <n v="1255"/>
    <x v="33"/>
    <x v="2"/>
    <x v="6"/>
    <x v="4"/>
    <n v="5"/>
    <n v="3"/>
    <n v="15"/>
  </r>
  <r>
    <n v="1256"/>
    <x v="44"/>
    <x v="3"/>
    <x v="9"/>
    <x v="4"/>
    <n v="6"/>
    <n v="2.4"/>
    <n v="14.4"/>
  </r>
  <r>
    <n v="1257"/>
    <x v="54"/>
    <x v="3"/>
    <x v="7"/>
    <x v="0"/>
    <n v="4"/>
    <n v="2.1"/>
    <n v="8.4"/>
  </r>
  <r>
    <n v="1258"/>
    <x v="66"/>
    <x v="1"/>
    <x v="5"/>
    <x v="3"/>
    <n v="3"/>
    <n v="4.2"/>
    <n v="12.6"/>
  </r>
  <r>
    <n v="1259"/>
    <x v="140"/>
    <x v="3"/>
    <x v="0"/>
    <x v="0"/>
    <n v="4"/>
    <n v="3.2"/>
    <n v="12.8"/>
  </r>
  <r>
    <n v="1260"/>
    <x v="50"/>
    <x v="0"/>
    <x v="2"/>
    <x v="2"/>
    <n v="6"/>
    <n v="2.5"/>
    <n v="15"/>
  </r>
  <r>
    <n v="1261"/>
    <x v="11"/>
    <x v="0"/>
    <x v="1"/>
    <x v="1"/>
    <n v="5"/>
    <n v="2"/>
    <n v="10"/>
  </r>
  <r>
    <n v="1262"/>
    <x v="11"/>
    <x v="2"/>
    <x v="7"/>
    <x v="0"/>
    <n v="6"/>
    <n v="2.1"/>
    <n v="12.6"/>
  </r>
  <r>
    <n v="1263"/>
    <x v="2"/>
    <x v="3"/>
    <x v="5"/>
    <x v="3"/>
    <n v="4"/>
    <n v="4.2"/>
    <n v="16.8"/>
  </r>
  <r>
    <n v="1264"/>
    <x v="141"/>
    <x v="2"/>
    <x v="8"/>
    <x v="2"/>
    <n v="2"/>
    <n v="3.8"/>
    <n v="7.6"/>
  </r>
  <r>
    <n v="1265"/>
    <x v="30"/>
    <x v="1"/>
    <x v="1"/>
    <x v="1"/>
    <n v="4"/>
    <n v="2"/>
    <n v="8"/>
  </r>
  <r>
    <n v="1266"/>
    <x v="142"/>
    <x v="2"/>
    <x v="1"/>
    <x v="1"/>
    <n v="3"/>
    <n v="2"/>
    <n v="6"/>
  </r>
  <r>
    <n v="1267"/>
    <x v="139"/>
    <x v="1"/>
    <x v="3"/>
    <x v="3"/>
    <n v="4"/>
    <n v="6.5"/>
    <n v="26"/>
  </r>
  <r>
    <n v="1268"/>
    <x v="129"/>
    <x v="0"/>
    <x v="3"/>
    <x v="3"/>
    <n v="5"/>
    <n v="6.5"/>
    <n v="32.5"/>
  </r>
  <r>
    <n v="1269"/>
    <x v="42"/>
    <x v="1"/>
    <x v="4"/>
    <x v="1"/>
    <n v="6"/>
    <n v="2.7"/>
    <n v="16.2"/>
  </r>
  <r>
    <n v="1270"/>
    <x v="143"/>
    <x v="3"/>
    <x v="3"/>
    <x v="3"/>
    <n v="4"/>
    <n v="6.5"/>
    <n v="26"/>
  </r>
  <r>
    <n v="1271"/>
    <x v="70"/>
    <x v="3"/>
    <x v="3"/>
    <x v="3"/>
    <n v="2"/>
    <n v="6.5"/>
    <n v="13"/>
  </r>
  <r>
    <n v="1272"/>
    <x v="34"/>
    <x v="2"/>
    <x v="1"/>
    <x v="1"/>
    <n v="2"/>
    <n v="2"/>
    <n v="4"/>
  </r>
  <r>
    <n v="1273"/>
    <x v="126"/>
    <x v="0"/>
    <x v="9"/>
    <x v="4"/>
    <n v="4"/>
    <n v="2.4"/>
    <n v="9.6"/>
  </r>
  <r>
    <n v="1274"/>
    <x v="61"/>
    <x v="1"/>
    <x v="3"/>
    <x v="3"/>
    <n v="6"/>
    <n v="6.5"/>
    <n v="39"/>
  </r>
  <r>
    <n v="1275"/>
    <x v="144"/>
    <x v="1"/>
    <x v="4"/>
    <x v="1"/>
    <n v="1"/>
    <n v="2.7"/>
    <n v="2.7"/>
  </r>
  <r>
    <n v="1276"/>
    <x v="35"/>
    <x v="2"/>
    <x v="6"/>
    <x v="4"/>
    <n v="1"/>
    <n v="3"/>
    <n v="3"/>
  </r>
  <r>
    <n v="1277"/>
    <x v="145"/>
    <x v="1"/>
    <x v="2"/>
    <x v="2"/>
    <n v="2"/>
    <n v="2.5"/>
    <n v="5"/>
  </r>
  <r>
    <n v="1278"/>
    <x v="59"/>
    <x v="3"/>
    <x v="3"/>
    <x v="3"/>
    <n v="2"/>
    <n v="6.5"/>
    <n v="13"/>
  </r>
  <r>
    <n v="1279"/>
    <x v="137"/>
    <x v="0"/>
    <x v="5"/>
    <x v="3"/>
    <n v="4"/>
    <n v="4.2"/>
    <n v="16.8"/>
  </r>
  <r>
    <n v="1280"/>
    <x v="113"/>
    <x v="3"/>
    <x v="7"/>
    <x v="0"/>
    <n v="6"/>
    <n v="2.1"/>
    <n v="12.6"/>
  </r>
  <r>
    <n v="1281"/>
    <x v="22"/>
    <x v="2"/>
    <x v="6"/>
    <x v="4"/>
    <n v="3"/>
    <n v="3"/>
    <n v="9"/>
  </r>
  <r>
    <n v="1282"/>
    <x v="9"/>
    <x v="2"/>
    <x v="0"/>
    <x v="0"/>
    <n v="2"/>
    <n v="3.2"/>
    <n v="6.4"/>
  </r>
  <r>
    <n v="1283"/>
    <x v="76"/>
    <x v="0"/>
    <x v="1"/>
    <x v="1"/>
    <n v="4"/>
    <n v="2"/>
    <n v="8"/>
  </r>
  <r>
    <n v="1284"/>
    <x v="71"/>
    <x v="1"/>
    <x v="7"/>
    <x v="0"/>
    <n v="4"/>
    <n v="2.1"/>
    <n v="8.4"/>
  </r>
  <r>
    <n v="1285"/>
    <x v="63"/>
    <x v="0"/>
    <x v="8"/>
    <x v="2"/>
    <n v="3"/>
    <n v="3.8"/>
    <n v="11.4"/>
  </r>
  <r>
    <n v="1286"/>
    <x v="146"/>
    <x v="2"/>
    <x v="9"/>
    <x v="4"/>
    <n v="1"/>
    <n v="2.4"/>
    <n v="2.4"/>
  </r>
  <r>
    <n v="1287"/>
    <x v="142"/>
    <x v="0"/>
    <x v="9"/>
    <x v="4"/>
    <n v="6"/>
    <n v="2.4"/>
    <n v="14.4"/>
  </r>
  <r>
    <n v="1288"/>
    <x v="57"/>
    <x v="2"/>
    <x v="1"/>
    <x v="1"/>
    <n v="4"/>
    <n v="2"/>
    <n v="8"/>
  </r>
  <r>
    <n v="1289"/>
    <x v="35"/>
    <x v="1"/>
    <x v="4"/>
    <x v="1"/>
    <n v="3"/>
    <n v="2.7"/>
    <n v="8.1"/>
  </r>
  <r>
    <n v="1290"/>
    <x v="12"/>
    <x v="1"/>
    <x v="2"/>
    <x v="2"/>
    <n v="4"/>
    <n v="2.5"/>
    <n v="10"/>
  </r>
  <r>
    <n v="1291"/>
    <x v="147"/>
    <x v="1"/>
    <x v="8"/>
    <x v="2"/>
    <n v="4"/>
    <n v="3.8"/>
    <n v="15.2"/>
  </r>
  <r>
    <n v="1292"/>
    <x v="148"/>
    <x v="1"/>
    <x v="8"/>
    <x v="2"/>
    <n v="6"/>
    <n v="3.8"/>
    <n v="22.8"/>
  </r>
  <r>
    <n v="1293"/>
    <x v="135"/>
    <x v="1"/>
    <x v="9"/>
    <x v="4"/>
    <n v="5"/>
    <n v="2.4"/>
    <n v="12"/>
  </r>
  <r>
    <n v="1294"/>
    <x v="28"/>
    <x v="0"/>
    <x v="8"/>
    <x v="2"/>
    <n v="2"/>
    <n v="3.8"/>
    <n v="7.6"/>
  </r>
  <r>
    <n v="1295"/>
    <x v="149"/>
    <x v="3"/>
    <x v="2"/>
    <x v="2"/>
    <n v="2"/>
    <n v="2.5"/>
    <n v="5"/>
  </r>
  <r>
    <n v="1296"/>
    <x v="150"/>
    <x v="3"/>
    <x v="0"/>
    <x v="0"/>
    <n v="4"/>
    <n v="3.2"/>
    <n v="12.8"/>
  </r>
  <r>
    <n v="1297"/>
    <x v="43"/>
    <x v="2"/>
    <x v="0"/>
    <x v="0"/>
    <n v="1"/>
    <n v="3.2"/>
    <n v="3.2"/>
  </r>
  <r>
    <n v="1298"/>
    <x v="52"/>
    <x v="0"/>
    <x v="9"/>
    <x v="4"/>
    <n v="3"/>
    <n v="2.4"/>
    <n v="7.2"/>
  </r>
  <r>
    <n v="1299"/>
    <x v="42"/>
    <x v="1"/>
    <x v="9"/>
    <x v="4"/>
    <n v="6"/>
    <n v="2.4"/>
    <n v="14.4"/>
  </r>
  <r>
    <n v="1300"/>
    <x v="43"/>
    <x v="2"/>
    <x v="7"/>
    <x v="0"/>
    <n v="6"/>
    <n v="2.1"/>
    <n v="12.6"/>
  </r>
  <r>
    <n v="1301"/>
    <x v="50"/>
    <x v="0"/>
    <x v="0"/>
    <x v="0"/>
    <n v="1"/>
    <n v="3.2"/>
    <n v="3.2"/>
  </r>
  <r>
    <n v="1302"/>
    <x v="43"/>
    <x v="0"/>
    <x v="3"/>
    <x v="3"/>
    <n v="4"/>
    <n v="6.5"/>
    <n v="26"/>
  </r>
  <r>
    <n v="1303"/>
    <x v="15"/>
    <x v="2"/>
    <x v="7"/>
    <x v="0"/>
    <n v="6"/>
    <n v="2.1"/>
    <n v="12.6"/>
  </r>
  <r>
    <n v="1304"/>
    <x v="110"/>
    <x v="1"/>
    <x v="6"/>
    <x v="4"/>
    <n v="5"/>
    <n v="3"/>
    <n v="15"/>
  </r>
  <r>
    <n v="1305"/>
    <x v="6"/>
    <x v="3"/>
    <x v="5"/>
    <x v="3"/>
    <n v="5"/>
    <n v="4.2"/>
    <n v="21"/>
  </r>
  <r>
    <n v="1306"/>
    <x v="151"/>
    <x v="1"/>
    <x v="3"/>
    <x v="3"/>
    <n v="1"/>
    <n v="6.5"/>
    <n v="6.5"/>
  </r>
  <r>
    <n v="1307"/>
    <x v="17"/>
    <x v="2"/>
    <x v="7"/>
    <x v="0"/>
    <n v="5"/>
    <n v="2.1"/>
    <n v="10.5"/>
  </r>
  <r>
    <n v="1308"/>
    <x v="152"/>
    <x v="1"/>
    <x v="4"/>
    <x v="1"/>
    <n v="6"/>
    <n v="2.7"/>
    <n v="16.2"/>
  </r>
  <r>
    <n v="1309"/>
    <x v="90"/>
    <x v="3"/>
    <x v="3"/>
    <x v="3"/>
    <n v="1"/>
    <n v="6.5"/>
    <n v="6.5"/>
  </r>
  <r>
    <n v="1310"/>
    <x v="73"/>
    <x v="3"/>
    <x v="2"/>
    <x v="2"/>
    <n v="5"/>
    <n v="2.5"/>
    <n v="12.5"/>
  </r>
  <r>
    <n v="1311"/>
    <x v="82"/>
    <x v="0"/>
    <x v="9"/>
    <x v="4"/>
    <n v="6"/>
    <n v="2.4"/>
    <n v="14.4"/>
  </r>
  <r>
    <n v="1312"/>
    <x v="106"/>
    <x v="3"/>
    <x v="2"/>
    <x v="2"/>
    <n v="2"/>
    <n v="2.5"/>
    <n v="5"/>
  </r>
  <r>
    <n v="1313"/>
    <x v="35"/>
    <x v="0"/>
    <x v="6"/>
    <x v="4"/>
    <n v="3"/>
    <n v="3"/>
    <n v="9"/>
  </r>
  <r>
    <n v="1314"/>
    <x v="111"/>
    <x v="0"/>
    <x v="1"/>
    <x v="1"/>
    <n v="5"/>
    <n v="2"/>
    <n v="10"/>
  </r>
  <r>
    <n v="1315"/>
    <x v="143"/>
    <x v="0"/>
    <x v="7"/>
    <x v="0"/>
    <n v="3"/>
    <n v="2.1"/>
    <n v="6.3"/>
  </r>
  <r>
    <n v="1316"/>
    <x v="141"/>
    <x v="1"/>
    <x v="2"/>
    <x v="2"/>
    <n v="1"/>
    <n v="2.5"/>
    <n v="2.5"/>
  </r>
  <r>
    <n v="1317"/>
    <x v="79"/>
    <x v="1"/>
    <x v="8"/>
    <x v="2"/>
    <n v="1"/>
    <n v="3.8"/>
    <n v="3.8"/>
  </r>
  <r>
    <n v="1318"/>
    <x v="61"/>
    <x v="0"/>
    <x v="8"/>
    <x v="2"/>
    <n v="4"/>
    <n v="3.8"/>
    <n v="15.2"/>
  </r>
  <r>
    <n v="1319"/>
    <x v="75"/>
    <x v="0"/>
    <x v="6"/>
    <x v="4"/>
    <n v="4"/>
    <n v="3"/>
    <n v="12"/>
  </r>
  <r>
    <n v="1320"/>
    <x v="77"/>
    <x v="2"/>
    <x v="2"/>
    <x v="2"/>
    <n v="1"/>
    <n v="2.5"/>
    <n v="2.5"/>
  </r>
  <r>
    <n v="1321"/>
    <x v="54"/>
    <x v="3"/>
    <x v="9"/>
    <x v="4"/>
    <n v="4"/>
    <n v="2.4"/>
    <n v="9.6"/>
  </r>
  <r>
    <n v="1322"/>
    <x v="153"/>
    <x v="0"/>
    <x v="1"/>
    <x v="1"/>
    <n v="1"/>
    <n v="2"/>
    <n v="2"/>
  </r>
  <r>
    <n v="1323"/>
    <x v="10"/>
    <x v="0"/>
    <x v="6"/>
    <x v="4"/>
    <n v="6"/>
    <n v="3"/>
    <n v="18"/>
  </r>
  <r>
    <n v="1324"/>
    <x v="154"/>
    <x v="0"/>
    <x v="0"/>
    <x v="0"/>
    <n v="2"/>
    <n v="3.2"/>
    <n v="6.4"/>
  </r>
  <r>
    <n v="1325"/>
    <x v="118"/>
    <x v="0"/>
    <x v="5"/>
    <x v="3"/>
    <n v="3"/>
    <n v="4.2"/>
    <n v="12.6"/>
  </r>
  <r>
    <n v="1326"/>
    <x v="155"/>
    <x v="0"/>
    <x v="5"/>
    <x v="3"/>
    <n v="2"/>
    <n v="4.2"/>
    <n v="8.4"/>
  </r>
  <r>
    <n v="1327"/>
    <x v="147"/>
    <x v="3"/>
    <x v="2"/>
    <x v="2"/>
    <n v="3"/>
    <n v="2.5"/>
    <n v="7.5"/>
  </r>
  <r>
    <n v="1328"/>
    <x v="38"/>
    <x v="0"/>
    <x v="6"/>
    <x v="4"/>
    <n v="4"/>
    <n v="3"/>
    <n v="12"/>
  </r>
  <r>
    <n v="1329"/>
    <x v="31"/>
    <x v="2"/>
    <x v="4"/>
    <x v="1"/>
    <n v="4"/>
    <n v="2.7"/>
    <n v="10.8"/>
  </r>
  <r>
    <n v="1330"/>
    <x v="39"/>
    <x v="3"/>
    <x v="4"/>
    <x v="1"/>
    <n v="5"/>
    <n v="2.7"/>
    <n v="13.5"/>
  </r>
  <r>
    <n v="1331"/>
    <x v="109"/>
    <x v="1"/>
    <x v="4"/>
    <x v="1"/>
    <n v="1"/>
    <n v="2.7"/>
    <n v="2.7"/>
  </r>
  <r>
    <n v="1332"/>
    <x v="156"/>
    <x v="0"/>
    <x v="4"/>
    <x v="1"/>
    <n v="2"/>
    <n v="2.7"/>
    <n v="5.4"/>
  </r>
  <r>
    <n v="1333"/>
    <x v="135"/>
    <x v="1"/>
    <x v="6"/>
    <x v="4"/>
    <n v="5"/>
    <n v="3"/>
    <n v="15"/>
  </r>
  <r>
    <n v="1334"/>
    <x v="114"/>
    <x v="2"/>
    <x v="9"/>
    <x v="4"/>
    <n v="2"/>
    <n v="2.4"/>
    <n v="4.8"/>
  </r>
  <r>
    <n v="1335"/>
    <x v="94"/>
    <x v="0"/>
    <x v="8"/>
    <x v="2"/>
    <n v="2"/>
    <n v="3.8"/>
    <n v="7.6"/>
  </r>
  <r>
    <n v="1336"/>
    <x v="12"/>
    <x v="3"/>
    <x v="6"/>
    <x v="4"/>
    <n v="5"/>
    <n v="3"/>
    <n v="15"/>
  </r>
  <r>
    <n v="1337"/>
    <x v="150"/>
    <x v="1"/>
    <x v="3"/>
    <x v="3"/>
    <n v="3"/>
    <n v="6.5"/>
    <n v="19.5"/>
  </r>
  <r>
    <n v="1338"/>
    <x v="143"/>
    <x v="1"/>
    <x v="1"/>
    <x v="1"/>
    <n v="3"/>
    <n v="2"/>
    <n v="6"/>
  </r>
  <r>
    <n v="1339"/>
    <x v="123"/>
    <x v="0"/>
    <x v="0"/>
    <x v="0"/>
    <n v="2"/>
    <n v="3.2"/>
    <n v="6.4"/>
  </r>
  <r>
    <n v="1340"/>
    <x v="150"/>
    <x v="2"/>
    <x v="1"/>
    <x v="1"/>
    <n v="4"/>
    <n v="2"/>
    <n v="8"/>
  </r>
  <r>
    <n v="1341"/>
    <x v="45"/>
    <x v="2"/>
    <x v="3"/>
    <x v="3"/>
    <n v="4"/>
    <n v="6.5"/>
    <n v="26"/>
  </r>
  <r>
    <n v="1342"/>
    <x v="35"/>
    <x v="2"/>
    <x v="0"/>
    <x v="0"/>
    <n v="2"/>
    <n v="3.2"/>
    <n v="6.4"/>
  </r>
  <r>
    <n v="1343"/>
    <x v="70"/>
    <x v="2"/>
    <x v="0"/>
    <x v="0"/>
    <n v="4"/>
    <n v="3.2"/>
    <n v="12.8"/>
  </r>
  <r>
    <n v="1344"/>
    <x v="92"/>
    <x v="3"/>
    <x v="0"/>
    <x v="0"/>
    <n v="4"/>
    <n v="3.2"/>
    <n v="12.8"/>
  </r>
  <r>
    <n v="1345"/>
    <x v="157"/>
    <x v="2"/>
    <x v="7"/>
    <x v="0"/>
    <n v="3"/>
    <n v="2.1"/>
    <n v="6.3"/>
  </r>
  <r>
    <n v="1346"/>
    <x v="33"/>
    <x v="3"/>
    <x v="1"/>
    <x v="1"/>
    <n v="6"/>
    <n v="2"/>
    <n v="12"/>
  </r>
  <r>
    <n v="1347"/>
    <x v="22"/>
    <x v="0"/>
    <x v="0"/>
    <x v="0"/>
    <n v="1"/>
    <n v="3.2"/>
    <n v="3.2"/>
  </r>
  <r>
    <n v="1348"/>
    <x v="0"/>
    <x v="1"/>
    <x v="7"/>
    <x v="0"/>
    <n v="3"/>
    <n v="2.1"/>
    <n v="6.3"/>
  </r>
  <r>
    <n v="1349"/>
    <x v="149"/>
    <x v="3"/>
    <x v="3"/>
    <x v="3"/>
    <n v="4"/>
    <n v="6.5"/>
    <n v="26"/>
  </r>
  <r>
    <n v="1350"/>
    <x v="80"/>
    <x v="3"/>
    <x v="8"/>
    <x v="2"/>
    <n v="5"/>
    <n v="3.8"/>
    <n v="19"/>
  </r>
  <r>
    <n v="1351"/>
    <x v="59"/>
    <x v="2"/>
    <x v="2"/>
    <x v="2"/>
    <n v="3"/>
    <n v="2.5"/>
    <n v="7.5"/>
  </r>
  <r>
    <n v="1352"/>
    <x v="69"/>
    <x v="1"/>
    <x v="6"/>
    <x v="4"/>
    <n v="1"/>
    <n v="3"/>
    <n v="3"/>
  </r>
  <r>
    <n v="1353"/>
    <x v="59"/>
    <x v="3"/>
    <x v="0"/>
    <x v="0"/>
    <n v="3"/>
    <n v="3.2"/>
    <n v="9.6"/>
  </r>
  <r>
    <n v="1354"/>
    <x v="158"/>
    <x v="1"/>
    <x v="6"/>
    <x v="4"/>
    <n v="1"/>
    <n v="3"/>
    <n v="3"/>
  </r>
  <r>
    <n v="1355"/>
    <x v="159"/>
    <x v="2"/>
    <x v="3"/>
    <x v="3"/>
    <n v="3"/>
    <n v="6.5"/>
    <n v="19.5"/>
  </r>
  <r>
    <n v="1356"/>
    <x v="34"/>
    <x v="0"/>
    <x v="4"/>
    <x v="1"/>
    <n v="5"/>
    <n v="2.7"/>
    <n v="13.5"/>
  </r>
  <r>
    <n v="1357"/>
    <x v="160"/>
    <x v="1"/>
    <x v="0"/>
    <x v="0"/>
    <n v="5"/>
    <n v="3.2"/>
    <n v="16"/>
  </r>
  <r>
    <n v="1358"/>
    <x v="90"/>
    <x v="2"/>
    <x v="7"/>
    <x v="0"/>
    <n v="6"/>
    <n v="2.1"/>
    <n v="12.6"/>
  </r>
  <r>
    <n v="1359"/>
    <x v="26"/>
    <x v="0"/>
    <x v="7"/>
    <x v="0"/>
    <n v="6"/>
    <n v="2.1"/>
    <n v="12.6"/>
  </r>
  <r>
    <n v="1360"/>
    <x v="11"/>
    <x v="3"/>
    <x v="4"/>
    <x v="1"/>
    <n v="1"/>
    <n v="2.7"/>
    <n v="2.7"/>
  </r>
  <r>
    <n v="1361"/>
    <x v="79"/>
    <x v="3"/>
    <x v="9"/>
    <x v="4"/>
    <n v="5"/>
    <n v="2.4"/>
    <n v="12"/>
  </r>
  <r>
    <n v="1362"/>
    <x v="90"/>
    <x v="2"/>
    <x v="7"/>
    <x v="0"/>
    <n v="4"/>
    <n v="2.1"/>
    <n v="8.4"/>
  </r>
  <r>
    <n v="1363"/>
    <x v="64"/>
    <x v="1"/>
    <x v="0"/>
    <x v="0"/>
    <n v="1"/>
    <n v="3.2"/>
    <n v="3.2"/>
  </r>
  <r>
    <n v="1364"/>
    <x v="79"/>
    <x v="2"/>
    <x v="5"/>
    <x v="3"/>
    <n v="6"/>
    <n v="4.2"/>
    <n v="25.2"/>
  </r>
  <r>
    <n v="1365"/>
    <x v="47"/>
    <x v="1"/>
    <x v="6"/>
    <x v="4"/>
    <n v="6"/>
    <n v="3"/>
    <n v="18"/>
  </r>
  <r>
    <n v="1366"/>
    <x v="23"/>
    <x v="1"/>
    <x v="4"/>
    <x v="1"/>
    <n v="2"/>
    <n v="2.7"/>
    <n v="5.4"/>
  </r>
  <r>
    <n v="1367"/>
    <x v="105"/>
    <x v="1"/>
    <x v="5"/>
    <x v="3"/>
    <n v="4"/>
    <n v="4.2"/>
    <n v="16.8"/>
  </r>
  <r>
    <n v="1368"/>
    <x v="63"/>
    <x v="0"/>
    <x v="1"/>
    <x v="1"/>
    <n v="1"/>
    <n v="2"/>
    <n v="2"/>
  </r>
  <r>
    <n v="1369"/>
    <x v="42"/>
    <x v="2"/>
    <x v="6"/>
    <x v="4"/>
    <n v="6"/>
    <n v="3"/>
    <n v="18"/>
  </r>
  <r>
    <n v="1370"/>
    <x v="144"/>
    <x v="0"/>
    <x v="9"/>
    <x v="4"/>
    <n v="1"/>
    <n v="2.4"/>
    <n v="2.4"/>
  </r>
  <r>
    <n v="1371"/>
    <x v="45"/>
    <x v="3"/>
    <x v="6"/>
    <x v="4"/>
    <n v="5"/>
    <n v="3"/>
    <n v="15"/>
  </r>
  <r>
    <n v="1372"/>
    <x v="66"/>
    <x v="0"/>
    <x v="0"/>
    <x v="0"/>
    <n v="3"/>
    <n v="3.2"/>
    <n v="9.6"/>
  </r>
  <r>
    <n v="1373"/>
    <x v="49"/>
    <x v="2"/>
    <x v="6"/>
    <x v="4"/>
    <n v="5"/>
    <n v="3"/>
    <n v="15"/>
  </r>
  <r>
    <n v="1374"/>
    <x v="31"/>
    <x v="3"/>
    <x v="4"/>
    <x v="1"/>
    <n v="1"/>
    <n v="2.7"/>
    <n v="2.7"/>
  </r>
  <r>
    <n v="1375"/>
    <x v="49"/>
    <x v="2"/>
    <x v="0"/>
    <x v="0"/>
    <n v="3"/>
    <n v="3.2"/>
    <n v="9.6"/>
  </r>
  <r>
    <n v="1376"/>
    <x v="158"/>
    <x v="0"/>
    <x v="9"/>
    <x v="4"/>
    <n v="3"/>
    <n v="2.4"/>
    <n v="7.2"/>
  </r>
  <r>
    <n v="1377"/>
    <x v="94"/>
    <x v="0"/>
    <x v="7"/>
    <x v="0"/>
    <n v="1"/>
    <n v="2.1"/>
    <n v="2.1"/>
  </r>
  <r>
    <n v="1378"/>
    <x v="105"/>
    <x v="3"/>
    <x v="1"/>
    <x v="1"/>
    <n v="6"/>
    <n v="2"/>
    <n v="12"/>
  </r>
  <r>
    <n v="1379"/>
    <x v="159"/>
    <x v="2"/>
    <x v="2"/>
    <x v="2"/>
    <n v="6"/>
    <n v="2.5"/>
    <n v="15"/>
  </r>
  <r>
    <n v="1380"/>
    <x v="81"/>
    <x v="3"/>
    <x v="7"/>
    <x v="0"/>
    <n v="5"/>
    <n v="2.1"/>
    <n v="10.5"/>
  </r>
  <r>
    <n v="1381"/>
    <x v="135"/>
    <x v="1"/>
    <x v="8"/>
    <x v="2"/>
    <n v="2"/>
    <n v="3.8"/>
    <n v="7.6"/>
  </r>
  <r>
    <n v="1382"/>
    <x v="112"/>
    <x v="2"/>
    <x v="0"/>
    <x v="0"/>
    <n v="5"/>
    <n v="3.2"/>
    <n v="16"/>
  </r>
  <r>
    <n v="1383"/>
    <x v="26"/>
    <x v="1"/>
    <x v="4"/>
    <x v="1"/>
    <n v="4"/>
    <n v="2.7"/>
    <n v="10.8"/>
  </r>
  <r>
    <n v="1384"/>
    <x v="65"/>
    <x v="0"/>
    <x v="3"/>
    <x v="3"/>
    <n v="2"/>
    <n v="6.5"/>
    <n v="13"/>
  </r>
  <r>
    <n v="1385"/>
    <x v="63"/>
    <x v="1"/>
    <x v="6"/>
    <x v="4"/>
    <n v="2"/>
    <n v="3"/>
    <n v="6"/>
  </r>
  <r>
    <n v="1386"/>
    <x v="81"/>
    <x v="3"/>
    <x v="1"/>
    <x v="1"/>
    <n v="5"/>
    <n v="2"/>
    <n v="10"/>
  </r>
  <r>
    <n v="1387"/>
    <x v="74"/>
    <x v="0"/>
    <x v="1"/>
    <x v="1"/>
    <n v="4"/>
    <n v="2"/>
    <n v="8"/>
  </r>
  <r>
    <n v="1388"/>
    <x v="52"/>
    <x v="0"/>
    <x v="5"/>
    <x v="3"/>
    <n v="6"/>
    <n v="4.2"/>
    <n v="25.2"/>
  </r>
  <r>
    <n v="1389"/>
    <x v="112"/>
    <x v="2"/>
    <x v="8"/>
    <x v="2"/>
    <n v="5"/>
    <n v="3.8"/>
    <n v="19"/>
  </r>
  <r>
    <n v="1390"/>
    <x v="115"/>
    <x v="0"/>
    <x v="3"/>
    <x v="3"/>
    <n v="5"/>
    <n v="6.5"/>
    <n v="32.5"/>
  </r>
  <r>
    <n v="1391"/>
    <x v="161"/>
    <x v="2"/>
    <x v="0"/>
    <x v="0"/>
    <n v="6"/>
    <n v="3.2"/>
    <n v="19.2"/>
  </r>
  <r>
    <n v="1392"/>
    <x v="128"/>
    <x v="3"/>
    <x v="5"/>
    <x v="3"/>
    <n v="5"/>
    <n v="4.2"/>
    <n v="21"/>
  </r>
  <r>
    <n v="1393"/>
    <x v="162"/>
    <x v="2"/>
    <x v="1"/>
    <x v="1"/>
    <n v="6"/>
    <n v="2"/>
    <n v="12"/>
  </r>
  <r>
    <n v="1394"/>
    <x v="151"/>
    <x v="2"/>
    <x v="8"/>
    <x v="2"/>
    <n v="1"/>
    <n v="3.8"/>
    <n v="3.8"/>
  </r>
  <r>
    <n v="1395"/>
    <x v="132"/>
    <x v="2"/>
    <x v="4"/>
    <x v="1"/>
    <n v="1"/>
    <n v="2.7"/>
    <n v="2.7"/>
  </r>
  <r>
    <n v="1396"/>
    <x v="22"/>
    <x v="3"/>
    <x v="5"/>
    <x v="3"/>
    <n v="5"/>
    <n v="4.2"/>
    <n v="21"/>
  </r>
  <r>
    <n v="1397"/>
    <x v="87"/>
    <x v="2"/>
    <x v="5"/>
    <x v="3"/>
    <n v="3"/>
    <n v="4.2"/>
    <n v="12.6"/>
  </r>
  <r>
    <n v="1398"/>
    <x v="46"/>
    <x v="0"/>
    <x v="9"/>
    <x v="4"/>
    <n v="1"/>
    <n v="2.4"/>
    <n v="2.4"/>
  </r>
  <r>
    <n v="1399"/>
    <x v="29"/>
    <x v="0"/>
    <x v="0"/>
    <x v="0"/>
    <n v="4"/>
    <n v="3.2"/>
    <n v="12.8"/>
  </r>
  <r>
    <n v="1400"/>
    <x v="107"/>
    <x v="2"/>
    <x v="8"/>
    <x v="2"/>
    <n v="5"/>
    <n v="3.8"/>
    <n v="19"/>
  </r>
  <r>
    <n v="1401"/>
    <x v="135"/>
    <x v="2"/>
    <x v="1"/>
    <x v="1"/>
    <n v="1"/>
    <n v="2"/>
    <n v="2"/>
  </r>
  <r>
    <n v="1402"/>
    <x v="56"/>
    <x v="0"/>
    <x v="4"/>
    <x v="1"/>
    <n v="1"/>
    <n v="2.7"/>
    <n v="2.7"/>
  </r>
  <r>
    <n v="1403"/>
    <x v="30"/>
    <x v="0"/>
    <x v="2"/>
    <x v="2"/>
    <n v="1"/>
    <n v="2.5"/>
    <n v="2.5"/>
  </r>
  <r>
    <n v="1404"/>
    <x v="141"/>
    <x v="2"/>
    <x v="0"/>
    <x v="0"/>
    <n v="3"/>
    <n v="3.2"/>
    <n v="9.6"/>
  </r>
  <r>
    <n v="1405"/>
    <x v="1"/>
    <x v="1"/>
    <x v="3"/>
    <x v="3"/>
    <n v="2"/>
    <n v="6.5"/>
    <n v="13"/>
  </r>
  <r>
    <n v="1406"/>
    <x v="58"/>
    <x v="3"/>
    <x v="3"/>
    <x v="3"/>
    <n v="4"/>
    <n v="6.5"/>
    <n v="26"/>
  </r>
  <r>
    <n v="1407"/>
    <x v="132"/>
    <x v="3"/>
    <x v="1"/>
    <x v="1"/>
    <n v="2"/>
    <n v="2"/>
    <n v="4"/>
  </r>
  <r>
    <n v="1408"/>
    <x v="161"/>
    <x v="3"/>
    <x v="7"/>
    <x v="0"/>
    <n v="5"/>
    <n v="2.1"/>
    <n v="10.5"/>
  </r>
  <r>
    <n v="1409"/>
    <x v="77"/>
    <x v="1"/>
    <x v="8"/>
    <x v="2"/>
    <n v="2"/>
    <n v="3.8"/>
    <n v="7.6"/>
  </r>
  <r>
    <n v="1410"/>
    <x v="43"/>
    <x v="2"/>
    <x v="1"/>
    <x v="1"/>
    <n v="2"/>
    <n v="2"/>
    <n v="4"/>
  </r>
  <r>
    <n v="1411"/>
    <x v="0"/>
    <x v="3"/>
    <x v="4"/>
    <x v="1"/>
    <n v="5"/>
    <n v="2.7"/>
    <n v="13.5"/>
  </r>
  <r>
    <n v="1412"/>
    <x v="104"/>
    <x v="2"/>
    <x v="0"/>
    <x v="0"/>
    <n v="5"/>
    <n v="3.2"/>
    <n v="16"/>
  </r>
  <r>
    <n v="1413"/>
    <x v="14"/>
    <x v="0"/>
    <x v="0"/>
    <x v="0"/>
    <n v="3"/>
    <n v="3.2"/>
    <n v="9.6"/>
  </r>
  <r>
    <n v="1414"/>
    <x v="163"/>
    <x v="3"/>
    <x v="9"/>
    <x v="4"/>
    <n v="1"/>
    <n v="2.4"/>
    <n v="2.4"/>
  </r>
  <r>
    <n v="1415"/>
    <x v="121"/>
    <x v="1"/>
    <x v="1"/>
    <x v="1"/>
    <n v="6"/>
    <n v="2"/>
    <n v="12"/>
  </r>
  <r>
    <n v="1416"/>
    <x v="16"/>
    <x v="3"/>
    <x v="2"/>
    <x v="2"/>
    <n v="4"/>
    <n v="2.5"/>
    <n v="10"/>
  </r>
  <r>
    <n v="1417"/>
    <x v="46"/>
    <x v="3"/>
    <x v="1"/>
    <x v="1"/>
    <n v="2"/>
    <n v="2"/>
    <n v="4"/>
  </r>
  <r>
    <n v="1418"/>
    <x v="42"/>
    <x v="3"/>
    <x v="2"/>
    <x v="2"/>
    <n v="5"/>
    <n v="2.5"/>
    <n v="12.5"/>
  </r>
  <r>
    <n v="1419"/>
    <x v="131"/>
    <x v="2"/>
    <x v="6"/>
    <x v="4"/>
    <n v="6"/>
    <n v="3"/>
    <n v="18"/>
  </r>
  <r>
    <n v="1420"/>
    <x v="25"/>
    <x v="1"/>
    <x v="8"/>
    <x v="2"/>
    <n v="1"/>
    <n v="3.8"/>
    <n v="3.8"/>
  </r>
  <r>
    <n v="1421"/>
    <x v="118"/>
    <x v="3"/>
    <x v="6"/>
    <x v="4"/>
    <n v="3"/>
    <n v="3"/>
    <n v="9"/>
  </r>
  <r>
    <n v="1422"/>
    <x v="62"/>
    <x v="2"/>
    <x v="4"/>
    <x v="1"/>
    <n v="3"/>
    <n v="2.7"/>
    <n v="8.1"/>
  </r>
  <r>
    <n v="1423"/>
    <x v="97"/>
    <x v="3"/>
    <x v="1"/>
    <x v="1"/>
    <n v="5"/>
    <n v="2"/>
    <n v="10"/>
  </r>
  <r>
    <n v="1424"/>
    <x v="164"/>
    <x v="0"/>
    <x v="3"/>
    <x v="3"/>
    <n v="1"/>
    <n v="6.5"/>
    <n v="6.5"/>
  </r>
  <r>
    <n v="1425"/>
    <x v="48"/>
    <x v="2"/>
    <x v="7"/>
    <x v="0"/>
    <n v="2"/>
    <n v="2.1"/>
    <n v="4.2"/>
  </r>
  <r>
    <n v="1426"/>
    <x v="33"/>
    <x v="2"/>
    <x v="5"/>
    <x v="3"/>
    <n v="4"/>
    <n v="4.2"/>
    <n v="16.8"/>
  </r>
  <r>
    <n v="1427"/>
    <x v="24"/>
    <x v="0"/>
    <x v="0"/>
    <x v="0"/>
    <n v="1"/>
    <n v="3.2"/>
    <n v="3.2"/>
  </r>
  <r>
    <n v="1428"/>
    <x v="165"/>
    <x v="1"/>
    <x v="6"/>
    <x v="4"/>
    <n v="5"/>
    <n v="3"/>
    <n v="15"/>
  </r>
  <r>
    <n v="1429"/>
    <x v="19"/>
    <x v="0"/>
    <x v="8"/>
    <x v="2"/>
    <n v="4"/>
    <n v="3.8"/>
    <n v="15.2"/>
  </r>
  <r>
    <n v="1430"/>
    <x v="6"/>
    <x v="0"/>
    <x v="3"/>
    <x v="3"/>
    <n v="4"/>
    <n v="6.5"/>
    <n v="26"/>
  </r>
  <r>
    <n v="1431"/>
    <x v="145"/>
    <x v="0"/>
    <x v="3"/>
    <x v="3"/>
    <n v="1"/>
    <n v="6.5"/>
    <n v="6.5"/>
  </r>
  <r>
    <n v="1432"/>
    <x v="0"/>
    <x v="1"/>
    <x v="9"/>
    <x v="4"/>
    <n v="1"/>
    <n v="2.4"/>
    <n v="2.4"/>
  </r>
  <r>
    <n v="1433"/>
    <x v="149"/>
    <x v="1"/>
    <x v="5"/>
    <x v="3"/>
    <n v="6"/>
    <n v="4.2"/>
    <n v="25.2"/>
  </r>
  <r>
    <n v="1434"/>
    <x v="33"/>
    <x v="3"/>
    <x v="0"/>
    <x v="0"/>
    <n v="3"/>
    <n v="3.2"/>
    <n v="9.6"/>
  </r>
  <r>
    <n v="1435"/>
    <x v="91"/>
    <x v="1"/>
    <x v="3"/>
    <x v="3"/>
    <n v="5"/>
    <n v="6.5"/>
    <n v="32.5"/>
  </r>
  <r>
    <n v="1436"/>
    <x v="140"/>
    <x v="1"/>
    <x v="4"/>
    <x v="1"/>
    <n v="3"/>
    <n v="2.7"/>
    <n v="8.1"/>
  </r>
  <r>
    <n v="1437"/>
    <x v="46"/>
    <x v="2"/>
    <x v="2"/>
    <x v="2"/>
    <n v="6"/>
    <n v="2.5"/>
    <n v="15"/>
  </r>
  <r>
    <n v="1438"/>
    <x v="3"/>
    <x v="3"/>
    <x v="6"/>
    <x v="4"/>
    <n v="1"/>
    <n v="3"/>
    <n v="3"/>
  </r>
  <r>
    <n v="1439"/>
    <x v="88"/>
    <x v="2"/>
    <x v="5"/>
    <x v="3"/>
    <n v="1"/>
    <n v="4.2"/>
    <n v="4.2"/>
  </r>
  <r>
    <n v="1440"/>
    <x v="145"/>
    <x v="1"/>
    <x v="3"/>
    <x v="3"/>
    <n v="2"/>
    <n v="6.5"/>
    <n v="13"/>
  </r>
  <r>
    <n v="1441"/>
    <x v="114"/>
    <x v="0"/>
    <x v="5"/>
    <x v="3"/>
    <n v="2"/>
    <n v="4.2"/>
    <n v="8.4"/>
  </r>
  <r>
    <n v="1442"/>
    <x v="138"/>
    <x v="1"/>
    <x v="9"/>
    <x v="4"/>
    <n v="6"/>
    <n v="2.4"/>
    <n v="14.4"/>
  </r>
  <r>
    <n v="1443"/>
    <x v="21"/>
    <x v="2"/>
    <x v="1"/>
    <x v="1"/>
    <n v="2"/>
    <n v="2"/>
    <n v="4"/>
  </r>
  <r>
    <n v="1444"/>
    <x v="76"/>
    <x v="0"/>
    <x v="2"/>
    <x v="2"/>
    <n v="2"/>
    <n v="2.5"/>
    <n v="5"/>
  </r>
  <r>
    <n v="1445"/>
    <x v="97"/>
    <x v="2"/>
    <x v="1"/>
    <x v="1"/>
    <n v="6"/>
    <n v="2"/>
    <n v="12"/>
  </r>
  <r>
    <n v="1446"/>
    <x v="7"/>
    <x v="3"/>
    <x v="5"/>
    <x v="3"/>
    <n v="5"/>
    <n v="4.2"/>
    <n v="21"/>
  </r>
  <r>
    <n v="1447"/>
    <x v="128"/>
    <x v="0"/>
    <x v="6"/>
    <x v="4"/>
    <n v="2"/>
    <n v="3"/>
    <n v="6"/>
  </r>
  <r>
    <n v="1448"/>
    <x v="99"/>
    <x v="0"/>
    <x v="6"/>
    <x v="4"/>
    <n v="5"/>
    <n v="3"/>
    <n v="15"/>
  </r>
  <r>
    <n v="1449"/>
    <x v="74"/>
    <x v="3"/>
    <x v="3"/>
    <x v="3"/>
    <n v="2"/>
    <n v="6.5"/>
    <n v="13"/>
  </r>
  <r>
    <n v="1450"/>
    <x v="166"/>
    <x v="3"/>
    <x v="1"/>
    <x v="1"/>
    <n v="4"/>
    <n v="2"/>
    <n v="8"/>
  </r>
  <r>
    <n v="1451"/>
    <x v="50"/>
    <x v="0"/>
    <x v="1"/>
    <x v="1"/>
    <n v="5"/>
    <n v="2"/>
    <n v="10"/>
  </r>
  <r>
    <n v="1452"/>
    <x v="15"/>
    <x v="3"/>
    <x v="4"/>
    <x v="1"/>
    <n v="2"/>
    <n v="2.7"/>
    <n v="5.4"/>
  </r>
  <r>
    <n v="1453"/>
    <x v="83"/>
    <x v="2"/>
    <x v="8"/>
    <x v="2"/>
    <n v="1"/>
    <n v="3.8"/>
    <n v="3.8"/>
  </r>
  <r>
    <n v="1454"/>
    <x v="82"/>
    <x v="3"/>
    <x v="6"/>
    <x v="4"/>
    <n v="6"/>
    <n v="3"/>
    <n v="18"/>
  </r>
  <r>
    <n v="1455"/>
    <x v="31"/>
    <x v="1"/>
    <x v="1"/>
    <x v="1"/>
    <n v="2"/>
    <n v="2"/>
    <n v="4"/>
  </r>
  <r>
    <n v="1456"/>
    <x v="137"/>
    <x v="0"/>
    <x v="4"/>
    <x v="1"/>
    <n v="1"/>
    <n v="2.7"/>
    <n v="2.7"/>
  </r>
  <r>
    <n v="1457"/>
    <x v="152"/>
    <x v="1"/>
    <x v="1"/>
    <x v="1"/>
    <n v="5"/>
    <n v="2"/>
    <n v="10"/>
  </r>
  <r>
    <n v="1458"/>
    <x v="131"/>
    <x v="3"/>
    <x v="8"/>
    <x v="2"/>
    <n v="2"/>
    <n v="3.8"/>
    <n v="7.6"/>
  </r>
  <r>
    <n v="1459"/>
    <x v="109"/>
    <x v="0"/>
    <x v="0"/>
    <x v="0"/>
    <n v="6"/>
    <n v="3.2"/>
    <n v="19.2"/>
  </r>
  <r>
    <n v="1460"/>
    <x v="131"/>
    <x v="3"/>
    <x v="3"/>
    <x v="3"/>
    <n v="3"/>
    <n v="6.5"/>
    <n v="19.5"/>
  </r>
  <r>
    <n v="1461"/>
    <x v="73"/>
    <x v="2"/>
    <x v="2"/>
    <x v="2"/>
    <n v="3"/>
    <n v="2.5"/>
    <n v="7.5"/>
  </r>
  <r>
    <n v="1462"/>
    <x v="21"/>
    <x v="3"/>
    <x v="5"/>
    <x v="3"/>
    <n v="4"/>
    <n v="4.2"/>
    <n v="16.8"/>
  </r>
  <r>
    <n v="1463"/>
    <x v="125"/>
    <x v="1"/>
    <x v="8"/>
    <x v="2"/>
    <n v="2"/>
    <n v="3.8"/>
    <n v="7.6"/>
  </r>
  <r>
    <n v="1464"/>
    <x v="167"/>
    <x v="1"/>
    <x v="1"/>
    <x v="1"/>
    <n v="3"/>
    <n v="2"/>
    <n v="6"/>
  </r>
  <r>
    <n v="1465"/>
    <x v="168"/>
    <x v="1"/>
    <x v="1"/>
    <x v="1"/>
    <n v="4"/>
    <n v="2"/>
    <n v="8"/>
  </r>
  <r>
    <n v="1466"/>
    <x v="50"/>
    <x v="0"/>
    <x v="2"/>
    <x v="2"/>
    <n v="5"/>
    <n v="2.5"/>
    <n v="12.5"/>
  </r>
  <r>
    <n v="1467"/>
    <x v="159"/>
    <x v="2"/>
    <x v="5"/>
    <x v="3"/>
    <n v="2"/>
    <n v="4.2"/>
    <n v="8.4"/>
  </r>
  <r>
    <n v="1468"/>
    <x v="90"/>
    <x v="1"/>
    <x v="5"/>
    <x v="3"/>
    <n v="5"/>
    <n v="4.2"/>
    <n v="21"/>
  </r>
  <r>
    <n v="1469"/>
    <x v="15"/>
    <x v="0"/>
    <x v="9"/>
    <x v="4"/>
    <n v="5"/>
    <n v="2.4"/>
    <n v="12"/>
  </r>
  <r>
    <n v="1470"/>
    <x v="75"/>
    <x v="1"/>
    <x v="8"/>
    <x v="2"/>
    <n v="3"/>
    <n v="3.8"/>
    <n v="11.4"/>
  </r>
  <r>
    <n v="1471"/>
    <x v="135"/>
    <x v="0"/>
    <x v="4"/>
    <x v="1"/>
    <n v="3"/>
    <n v="2.7"/>
    <n v="8.1"/>
  </r>
  <r>
    <n v="1472"/>
    <x v="169"/>
    <x v="3"/>
    <x v="5"/>
    <x v="3"/>
    <n v="6"/>
    <n v="4.2"/>
    <n v="25.2"/>
  </r>
  <r>
    <n v="1473"/>
    <x v="125"/>
    <x v="1"/>
    <x v="9"/>
    <x v="4"/>
    <n v="5"/>
    <n v="2.4"/>
    <n v="12"/>
  </r>
  <r>
    <n v="1474"/>
    <x v="67"/>
    <x v="0"/>
    <x v="0"/>
    <x v="0"/>
    <n v="6"/>
    <n v="3.2"/>
    <n v="19.2"/>
  </r>
  <r>
    <n v="1475"/>
    <x v="12"/>
    <x v="2"/>
    <x v="4"/>
    <x v="1"/>
    <n v="5"/>
    <n v="2.7"/>
    <n v="13.5"/>
  </r>
  <r>
    <n v="1476"/>
    <x v="100"/>
    <x v="0"/>
    <x v="7"/>
    <x v="0"/>
    <n v="4"/>
    <n v="2.1"/>
    <n v="8.4"/>
  </r>
  <r>
    <n v="1477"/>
    <x v="15"/>
    <x v="3"/>
    <x v="0"/>
    <x v="0"/>
    <n v="3"/>
    <n v="3.2"/>
    <n v="9.6"/>
  </r>
  <r>
    <n v="1478"/>
    <x v="140"/>
    <x v="1"/>
    <x v="3"/>
    <x v="3"/>
    <n v="2"/>
    <n v="6.5"/>
    <n v="13"/>
  </r>
  <r>
    <n v="1479"/>
    <x v="124"/>
    <x v="2"/>
    <x v="5"/>
    <x v="3"/>
    <n v="4"/>
    <n v="4.2"/>
    <n v="16.8"/>
  </r>
  <r>
    <n v="1480"/>
    <x v="115"/>
    <x v="2"/>
    <x v="1"/>
    <x v="1"/>
    <n v="2"/>
    <n v="2"/>
    <n v="4"/>
  </r>
  <r>
    <n v="1481"/>
    <x v="110"/>
    <x v="3"/>
    <x v="4"/>
    <x v="1"/>
    <n v="5"/>
    <n v="2.7"/>
    <n v="13.5"/>
  </r>
  <r>
    <n v="1482"/>
    <x v="156"/>
    <x v="2"/>
    <x v="3"/>
    <x v="3"/>
    <n v="2"/>
    <n v="6.5"/>
    <n v="13"/>
  </r>
  <r>
    <n v="1483"/>
    <x v="144"/>
    <x v="3"/>
    <x v="0"/>
    <x v="0"/>
    <n v="5"/>
    <n v="3.2"/>
    <n v="16"/>
  </r>
  <r>
    <n v="1484"/>
    <x v="70"/>
    <x v="0"/>
    <x v="9"/>
    <x v="4"/>
    <n v="2"/>
    <n v="2.4"/>
    <n v="4.8"/>
  </r>
  <r>
    <n v="1485"/>
    <x v="170"/>
    <x v="2"/>
    <x v="8"/>
    <x v="2"/>
    <n v="4"/>
    <n v="3.8"/>
    <n v="15.2"/>
  </r>
  <r>
    <n v="1486"/>
    <x v="62"/>
    <x v="2"/>
    <x v="6"/>
    <x v="4"/>
    <n v="4"/>
    <n v="3"/>
    <n v="12"/>
  </r>
  <r>
    <n v="1487"/>
    <x v="136"/>
    <x v="1"/>
    <x v="6"/>
    <x v="4"/>
    <n v="3"/>
    <n v="3"/>
    <n v="9"/>
  </r>
  <r>
    <n v="1488"/>
    <x v="47"/>
    <x v="0"/>
    <x v="4"/>
    <x v="1"/>
    <n v="6"/>
    <n v="2.7"/>
    <n v="16.2"/>
  </r>
  <r>
    <n v="1489"/>
    <x v="155"/>
    <x v="3"/>
    <x v="1"/>
    <x v="1"/>
    <n v="5"/>
    <n v="2"/>
    <n v="10"/>
  </r>
  <r>
    <n v="1490"/>
    <x v="55"/>
    <x v="3"/>
    <x v="4"/>
    <x v="1"/>
    <n v="2"/>
    <n v="2.7"/>
    <n v="5.4"/>
  </r>
  <r>
    <n v="1491"/>
    <x v="99"/>
    <x v="1"/>
    <x v="0"/>
    <x v="0"/>
    <n v="4"/>
    <n v="3.2"/>
    <n v="12.8"/>
  </r>
  <r>
    <n v="1492"/>
    <x v="97"/>
    <x v="0"/>
    <x v="3"/>
    <x v="3"/>
    <n v="1"/>
    <n v="6.5"/>
    <n v="6.5"/>
  </r>
  <r>
    <n v="1493"/>
    <x v="89"/>
    <x v="3"/>
    <x v="5"/>
    <x v="3"/>
    <n v="4"/>
    <n v="4.2"/>
    <n v="16.8"/>
  </r>
  <r>
    <n v="1494"/>
    <x v="83"/>
    <x v="3"/>
    <x v="7"/>
    <x v="0"/>
    <n v="1"/>
    <n v="2.1"/>
    <n v="2.1"/>
  </r>
  <r>
    <n v="1495"/>
    <x v="94"/>
    <x v="3"/>
    <x v="7"/>
    <x v="0"/>
    <n v="3"/>
    <n v="2.1"/>
    <n v="6.3"/>
  </r>
  <r>
    <n v="1496"/>
    <x v="22"/>
    <x v="0"/>
    <x v="7"/>
    <x v="0"/>
    <n v="3"/>
    <n v="2.1"/>
    <n v="6.3"/>
  </r>
  <r>
    <n v="1497"/>
    <x v="137"/>
    <x v="1"/>
    <x v="3"/>
    <x v="3"/>
    <n v="6"/>
    <n v="6.5"/>
    <n v="39"/>
  </r>
  <r>
    <n v="1498"/>
    <x v="56"/>
    <x v="2"/>
    <x v="0"/>
    <x v="0"/>
    <n v="2"/>
    <n v="3.2"/>
    <n v="6.4"/>
  </r>
  <r>
    <n v="1499"/>
    <x v="36"/>
    <x v="0"/>
    <x v="2"/>
    <x v="2"/>
    <n v="3"/>
    <n v="2.5"/>
    <n v="7.5"/>
  </r>
  <r>
    <n v="1500"/>
    <x v="50"/>
    <x v="3"/>
    <x v="7"/>
    <x v="0"/>
    <n v="2"/>
    <n v="2.1"/>
    <n v="4.2"/>
  </r>
  <r>
    <n v="1501"/>
    <x v="107"/>
    <x v="2"/>
    <x v="4"/>
    <x v="1"/>
    <n v="1"/>
    <n v="2.7"/>
    <n v="2.7"/>
  </r>
  <r>
    <n v="1502"/>
    <x v="139"/>
    <x v="3"/>
    <x v="8"/>
    <x v="2"/>
    <n v="5"/>
    <n v="3.8"/>
    <n v="19"/>
  </r>
  <r>
    <n v="1503"/>
    <x v="36"/>
    <x v="3"/>
    <x v="8"/>
    <x v="2"/>
    <n v="2"/>
    <n v="3.8"/>
    <n v="7.6"/>
  </r>
  <r>
    <n v="1504"/>
    <x v="38"/>
    <x v="1"/>
    <x v="5"/>
    <x v="3"/>
    <n v="5"/>
    <n v="4.2"/>
    <n v="21"/>
  </r>
  <r>
    <n v="1505"/>
    <x v="32"/>
    <x v="3"/>
    <x v="2"/>
    <x v="2"/>
    <n v="4"/>
    <n v="2.5"/>
    <n v="10"/>
  </r>
  <r>
    <n v="1506"/>
    <x v="145"/>
    <x v="3"/>
    <x v="2"/>
    <x v="2"/>
    <n v="5"/>
    <n v="2.5"/>
    <n v="12.5"/>
  </r>
  <r>
    <n v="1507"/>
    <x v="171"/>
    <x v="1"/>
    <x v="3"/>
    <x v="3"/>
    <n v="4"/>
    <n v="6.5"/>
    <n v="26"/>
  </r>
  <r>
    <n v="1508"/>
    <x v="23"/>
    <x v="3"/>
    <x v="5"/>
    <x v="3"/>
    <n v="5"/>
    <n v="4.2"/>
    <n v="21"/>
  </r>
  <r>
    <n v="1509"/>
    <x v="117"/>
    <x v="3"/>
    <x v="8"/>
    <x v="2"/>
    <n v="4"/>
    <n v="3.8"/>
    <n v="15.2"/>
  </r>
  <r>
    <n v="1510"/>
    <x v="1"/>
    <x v="2"/>
    <x v="8"/>
    <x v="2"/>
    <n v="3"/>
    <n v="3.8"/>
    <n v="11.4"/>
  </r>
  <r>
    <n v="1511"/>
    <x v="2"/>
    <x v="0"/>
    <x v="9"/>
    <x v="4"/>
    <n v="3"/>
    <n v="2.4"/>
    <n v="7.2"/>
  </r>
  <r>
    <n v="1512"/>
    <x v="27"/>
    <x v="0"/>
    <x v="8"/>
    <x v="2"/>
    <n v="5"/>
    <n v="3.8"/>
    <n v="19"/>
  </r>
  <r>
    <n v="1513"/>
    <x v="47"/>
    <x v="1"/>
    <x v="9"/>
    <x v="4"/>
    <n v="3"/>
    <n v="2.4"/>
    <n v="7.2"/>
  </r>
  <r>
    <n v="1514"/>
    <x v="83"/>
    <x v="0"/>
    <x v="6"/>
    <x v="4"/>
    <n v="1"/>
    <n v="3"/>
    <n v="3"/>
  </r>
  <r>
    <n v="1515"/>
    <x v="34"/>
    <x v="3"/>
    <x v="8"/>
    <x v="2"/>
    <n v="1"/>
    <n v="3.8"/>
    <n v="3.8"/>
  </r>
  <r>
    <n v="1516"/>
    <x v="128"/>
    <x v="0"/>
    <x v="5"/>
    <x v="3"/>
    <n v="5"/>
    <n v="4.2"/>
    <n v="21"/>
  </r>
  <r>
    <n v="1517"/>
    <x v="111"/>
    <x v="0"/>
    <x v="0"/>
    <x v="0"/>
    <n v="3"/>
    <n v="3.2"/>
    <n v="9.6"/>
  </r>
  <r>
    <n v="1518"/>
    <x v="41"/>
    <x v="2"/>
    <x v="3"/>
    <x v="3"/>
    <n v="1"/>
    <n v="6.5"/>
    <n v="6.5"/>
  </r>
  <r>
    <n v="1519"/>
    <x v="165"/>
    <x v="0"/>
    <x v="8"/>
    <x v="2"/>
    <n v="6"/>
    <n v="3.8"/>
    <n v="22.8"/>
  </r>
  <r>
    <n v="1520"/>
    <x v="130"/>
    <x v="1"/>
    <x v="4"/>
    <x v="1"/>
    <n v="6"/>
    <n v="2.7"/>
    <n v="16.2"/>
  </r>
  <r>
    <n v="1521"/>
    <x v="34"/>
    <x v="2"/>
    <x v="5"/>
    <x v="3"/>
    <n v="6"/>
    <n v="4.2"/>
    <n v="25.2"/>
  </r>
  <r>
    <n v="1522"/>
    <x v="93"/>
    <x v="2"/>
    <x v="5"/>
    <x v="3"/>
    <n v="5"/>
    <n v="4.2"/>
    <n v="21"/>
  </r>
  <r>
    <n v="1523"/>
    <x v="91"/>
    <x v="1"/>
    <x v="7"/>
    <x v="0"/>
    <n v="4"/>
    <n v="2.1"/>
    <n v="8.4"/>
  </r>
  <r>
    <n v="1524"/>
    <x v="56"/>
    <x v="0"/>
    <x v="6"/>
    <x v="4"/>
    <n v="1"/>
    <n v="3"/>
    <n v="3"/>
  </r>
  <r>
    <n v="1525"/>
    <x v="71"/>
    <x v="0"/>
    <x v="3"/>
    <x v="3"/>
    <n v="3"/>
    <n v="6.5"/>
    <n v="19.5"/>
  </r>
  <r>
    <n v="1526"/>
    <x v="76"/>
    <x v="1"/>
    <x v="5"/>
    <x v="3"/>
    <n v="3"/>
    <n v="4.2"/>
    <n v="12.6"/>
  </r>
  <r>
    <n v="1527"/>
    <x v="26"/>
    <x v="3"/>
    <x v="3"/>
    <x v="3"/>
    <n v="6"/>
    <n v="6.5"/>
    <n v="39"/>
  </r>
  <r>
    <n v="1528"/>
    <x v="12"/>
    <x v="0"/>
    <x v="5"/>
    <x v="3"/>
    <n v="4"/>
    <n v="4.2"/>
    <n v="16.8"/>
  </r>
  <r>
    <n v="1529"/>
    <x v="162"/>
    <x v="0"/>
    <x v="4"/>
    <x v="1"/>
    <n v="2"/>
    <n v="2.7"/>
    <n v="5.4"/>
  </r>
  <r>
    <n v="1530"/>
    <x v="126"/>
    <x v="1"/>
    <x v="3"/>
    <x v="3"/>
    <n v="2"/>
    <n v="6.5"/>
    <n v="13"/>
  </r>
  <r>
    <n v="1531"/>
    <x v="2"/>
    <x v="3"/>
    <x v="6"/>
    <x v="4"/>
    <n v="4"/>
    <n v="3"/>
    <n v="12"/>
  </r>
  <r>
    <n v="1532"/>
    <x v="37"/>
    <x v="1"/>
    <x v="0"/>
    <x v="0"/>
    <n v="1"/>
    <n v="3.2"/>
    <n v="3.2"/>
  </r>
  <r>
    <n v="1533"/>
    <x v="111"/>
    <x v="3"/>
    <x v="7"/>
    <x v="0"/>
    <n v="1"/>
    <n v="2.1"/>
    <n v="2.1"/>
  </r>
  <r>
    <n v="1534"/>
    <x v="46"/>
    <x v="2"/>
    <x v="0"/>
    <x v="0"/>
    <n v="6"/>
    <n v="3.2"/>
    <n v="19.2"/>
  </r>
  <r>
    <n v="1535"/>
    <x v="167"/>
    <x v="3"/>
    <x v="4"/>
    <x v="1"/>
    <n v="4"/>
    <n v="2.7"/>
    <n v="10.8"/>
  </r>
  <r>
    <n v="1536"/>
    <x v="160"/>
    <x v="0"/>
    <x v="7"/>
    <x v="0"/>
    <n v="4"/>
    <n v="2.1"/>
    <n v="8.4"/>
  </r>
  <r>
    <n v="1537"/>
    <x v="85"/>
    <x v="2"/>
    <x v="0"/>
    <x v="0"/>
    <n v="1"/>
    <n v="3.2"/>
    <n v="3.2"/>
  </r>
  <r>
    <n v="1538"/>
    <x v="128"/>
    <x v="2"/>
    <x v="5"/>
    <x v="3"/>
    <n v="3"/>
    <n v="4.2"/>
    <n v="12.6"/>
  </r>
  <r>
    <n v="1539"/>
    <x v="62"/>
    <x v="2"/>
    <x v="7"/>
    <x v="0"/>
    <n v="3"/>
    <n v="2.1"/>
    <n v="6.3"/>
  </r>
  <r>
    <n v="1540"/>
    <x v="73"/>
    <x v="0"/>
    <x v="5"/>
    <x v="3"/>
    <n v="5"/>
    <n v="4.2"/>
    <n v="21"/>
  </r>
  <r>
    <n v="1541"/>
    <x v="158"/>
    <x v="3"/>
    <x v="5"/>
    <x v="3"/>
    <n v="4"/>
    <n v="4.2"/>
    <n v="16.8"/>
  </r>
  <r>
    <n v="1542"/>
    <x v="114"/>
    <x v="3"/>
    <x v="3"/>
    <x v="3"/>
    <n v="4"/>
    <n v="6.5"/>
    <n v="26"/>
  </r>
  <r>
    <n v="1543"/>
    <x v="172"/>
    <x v="2"/>
    <x v="6"/>
    <x v="4"/>
    <n v="2"/>
    <n v="3"/>
    <n v="6"/>
  </r>
  <r>
    <n v="1544"/>
    <x v="11"/>
    <x v="0"/>
    <x v="5"/>
    <x v="3"/>
    <n v="1"/>
    <n v="4.2"/>
    <n v="4.2"/>
  </r>
  <r>
    <n v="1545"/>
    <x v="115"/>
    <x v="2"/>
    <x v="0"/>
    <x v="0"/>
    <n v="5"/>
    <n v="3.2"/>
    <n v="16"/>
  </r>
  <r>
    <n v="1546"/>
    <x v="105"/>
    <x v="2"/>
    <x v="4"/>
    <x v="1"/>
    <n v="4"/>
    <n v="2.7"/>
    <n v="10.8"/>
  </r>
  <r>
    <n v="1547"/>
    <x v="48"/>
    <x v="2"/>
    <x v="2"/>
    <x v="2"/>
    <n v="3"/>
    <n v="2.5"/>
    <n v="7.5"/>
  </r>
  <r>
    <n v="1548"/>
    <x v="89"/>
    <x v="0"/>
    <x v="4"/>
    <x v="1"/>
    <n v="4"/>
    <n v="2.7"/>
    <n v="10.8"/>
  </r>
  <r>
    <n v="1549"/>
    <x v="16"/>
    <x v="0"/>
    <x v="5"/>
    <x v="3"/>
    <n v="5"/>
    <n v="4.2"/>
    <n v="21"/>
  </r>
  <r>
    <n v="1550"/>
    <x v="132"/>
    <x v="2"/>
    <x v="8"/>
    <x v="2"/>
    <n v="3"/>
    <n v="3.8"/>
    <n v="11.4"/>
  </r>
  <r>
    <n v="1551"/>
    <x v="150"/>
    <x v="2"/>
    <x v="1"/>
    <x v="1"/>
    <n v="3"/>
    <n v="2"/>
    <n v="6"/>
  </r>
  <r>
    <n v="1552"/>
    <x v="83"/>
    <x v="2"/>
    <x v="6"/>
    <x v="4"/>
    <n v="5"/>
    <n v="3"/>
    <n v="15"/>
  </r>
  <r>
    <n v="1553"/>
    <x v="148"/>
    <x v="1"/>
    <x v="6"/>
    <x v="4"/>
    <n v="1"/>
    <n v="3"/>
    <n v="3"/>
  </r>
  <r>
    <n v="1554"/>
    <x v="88"/>
    <x v="1"/>
    <x v="9"/>
    <x v="4"/>
    <n v="6"/>
    <n v="2.4"/>
    <n v="14.4"/>
  </r>
  <r>
    <n v="1555"/>
    <x v="48"/>
    <x v="0"/>
    <x v="2"/>
    <x v="2"/>
    <n v="4"/>
    <n v="2.5"/>
    <n v="10"/>
  </r>
  <r>
    <n v="1556"/>
    <x v="101"/>
    <x v="3"/>
    <x v="1"/>
    <x v="1"/>
    <n v="1"/>
    <n v="2"/>
    <n v="2"/>
  </r>
  <r>
    <n v="1557"/>
    <x v="109"/>
    <x v="1"/>
    <x v="0"/>
    <x v="0"/>
    <n v="4"/>
    <n v="3.2"/>
    <n v="12.8"/>
  </r>
  <r>
    <n v="1558"/>
    <x v="138"/>
    <x v="3"/>
    <x v="2"/>
    <x v="2"/>
    <n v="1"/>
    <n v="2.5"/>
    <n v="2.5"/>
  </r>
  <r>
    <n v="1559"/>
    <x v="169"/>
    <x v="1"/>
    <x v="7"/>
    <x v="0"/>
    <n v="1"/>
    <n v="2.1"/>
    <n v="2.1"/>
  </r>
  <r>
    <n v="1560"/>
    <x v="58"/>
    <x v="1"/>
    <x v="0"/>
    <x v="0"/>
    <n v="2"/>
    <n v="3.2"/>
    <n v="6.4"/>
  </r>
  <r>
    <n v="1561"/>
    <x v="94"/>
    <x v="3"/>
    <x v="5"/>
    <x v="3"/>
    <n v="3"/>
    <n v="4.2"/>
    <n v="12.6"/>
  </r>
  <r>
    <n v="1562"/>
    <x v="166"/>
    <x v="2"/>
    <x v="5"/>
    <x v="3"/>
    <n v="6"/>
    <n v="4.2"/>
    <n v="25.2"/>
  </r>
  <r>
    <n v="1563"/>
    <x v="146"/>
    <x v="1"/>
    <x v="8"/>
    <x v="2"/>
    <n v="4"/>
    <n v="3.8"/>
    <n v="15.2"/>
  </r>
  <r>
    <n v="1564"/>
    <x v="72"/>
    <x v="2"/>
    <x v="3"/>
    <x v="3"/>
    <n v="4"/>
    <n v="6.5"/>
    <n v="26"/>
  </r>
  <r>
    <n v="1565"/>
    <x v="67"/>
    <x v="1"/>
    <x v="5"/>
    <x v="3"/>
    <n v="1"/>
    <n v="4.2"/>
    <n v="4.2"/>
  </r>
  <r>
    <n v="1566"/>
    <x v="173"/>
    <x v="2"/>
    <x v="1"/>
    <x v="1"/>
    <n v="6"/>
    <n v="2"/>
    <n v="12"/>
  </r>
  <r>
    <n v="1567"/>
    <x v="79"/>
    <x v="2"/>
    <x v="4"/>
    <x v="1"/>
    <n v="6"/>
    <n v="2.7"/>
    <n v="16.2"/>
  </r>
  <r>
    <n v="1568"/>
    <x v="150"/>
    <x v="3"/>
    <x v="0"/>
    <x v="0"/>
    <n v="4"/>
    <n v="3.2"/>
    <n v="12.8"/>
  </r>
  <r>
    <n v="1569"/>
    <x v="96"/>
    <x v="2"/>
    <x v="3"/>
    <x v="3"/>
    <n v="5"/>
    <n v="6.5"/>
    <n v="32.5"/>
  </r>
  <r>
    <n v="1570"/>
    <x v="80"/>
    <x v="0"/>
    <x v="4"/>
    <x v="1"/>
    <n v="6"/>
    <n v="2.7"/>
    <n v="16.2"/>
  </r>
  <r>
    <n v="1571"/>
    <x v="72"/>
    <x v="2"/>
    <x v="4"/>
    <x v="1"/>
    <n v="5"/>
    <n v="2.7"/>
    <n v="13.5"/>
  </r>
  <r>
    <n v="1572"/>
    <x v="149"/>
    <x v="3"/>
    <x v="0"/>
    <x v="0"/>
    <n v="2"/>
    <n v="3.2"/>
    <n v="6.4"/>
  </r>
  <r>
    <n v="1573"/>
    <x v="6"/>
    <x v="1"/>
    <x v="2"/>
    <x v="2"/>
    <n v="6"/>
    <n v="2.5"/>
    <n v="15"/>
  </r>
  <r>
    <n v="1574"/>
    <x v="162"/>
    <x v="2"/>
    <x v="9"/>
    <x v="4"/>
    <n v="3"/>
    <n v="2.4"/>
    <n v="7.2"/>
  </r>
  <r>
    <n v="1575"/>
    <x v="25"/>
    <x v="0"/>
    <x v="6"/>
    <x v="4"/>
    <n v="6"/>
    <n v="3"/>
    <n v="18"/>
  </r>
  <r>
    <n v="1576"/>
    <x v="174"/>
    <x v="3"/>
    <x v="7"/>
    <x v="0"/>
    <n v="4"/>
    <n v="2.1"/>
    <n v="8.4"/>
  </r>
  <r>
    <n v="1577"/>
    <x v="26"/>
    <x v="0"/>
    <x v="6"/>
    <x v="4"/>
    <n v="6"/>
    <n v="3"/>
    <n v="18"/>
  </r>
  <r>
    <n v="1578"/>
    <x v="127"/>
    <x v="3"/>
    <x v="3"/>
    <x v="3"/>
    <n v="5"/>
    <n v="6.5"/>
    <n v="32.5"/>
  </r>
  <r>
    <n v="1579"/>
    <x v="110"/>
    <x v="2"/>
    <x v="0"/>
    <x v="0"/>
    <n v="4"/>
    <n v="3.2"/>
    <n v="12.8"/>
  </r>
  <r>
    <n v="1580"/>
    <x v="6"/>
    <x v="1"/>
    <x v="9"/>
    <x v="4"/>
    <n v="4"/>
    <n v="2.4"/>
    <n v="9.6"/>
  </r>
  <r>
    <n v="1581"/>
    <x v="113"/>
    <x v="2"/>
    <x v="7"/>
    <x v="0"/>
    <n v="4"/>
    <n v="2.1"/>
    <n v="8.4"/>
  </r>
  <r>
    <n v="1582"/>
    <x v="160"/>
    <x v="0"/>
    <x v="7"/>
    <x v="0"/>
    <n v="3"/>
    <n v="2.1"/>
    <n v="6.3"/>
  </r>
  <r>
    <n v="1583"/>
    <x v="107"/>
    <x v="3"/>
    <x v="3"/>
    <x v="3"/>
    <n v="6"/>
    <n v="6.5"/>
    <n v="39"/>
  </r>
  <r>
    <n v="1584"/>
    <x v="134"/>
    <x v="2"/>
    <x v="4"/>
    <x v="1"/>
    <n v="5"/>
    <n v="2.7"/>
    <n v="13.5"/>
  </r>
  <r>
    <n v="1585"/>
    <x v="130"/>
    <x v="1"/>
    <x v="8"/>
    <x v="2"/>
    <n v="1"/>
    <n v="3.8"/>
    <n v="3.8"/>
  </r>
  <r>
    <n v="1586"/>
    <x v="104"/>
    <x v="0"/>
    <x v="8"/>
    <x v="2"/>
    <n v="3"/>
    <n v="3.8"/>
    <n v="11.4"/>
  </r>
  <r>
    <n v="1587"/>
    <x v="150"/>
    <x v="1"/>
    <x v="6"/>
    <x v="4"/>
    <n v="2"/>
    <n v="3"/>
    <n v="6"/>
  </r>
  <r>
    <n v="1588"/>
    <x v="86"/>
    <x v="3"/>
    <x v="0"/>
    <x v="0"/>
    <n v="6"/>
    <n v="3.2"/>
    <n v="19.2"/>
  </r>
  <r>
    <n v="1589"/>
    <x v="10"/>
    <x v="0"/>
    <x v="2"/>
    <x v="2"/>
    <n v="1"/>
    <n v="2.5"/>
    <n v="2.5"/>
  </r>
  <r>
    <n v="1590"/>
    <x v="2"/>
    <x v="2"/>
    <x v="0"/>
    <x v="0"/>
    <n v="5"/>
    <n v="3.2"/>
    <n v="16"/>
  </r>
  <r>
    <n v="1591"/>
    <x v="91"/>
    <x v="2"/>
    <x v="6"/>
    <x v="4"/>
    <n v="6"/>
    <n v="3"/>
    <n v="18"/>
  </r>
  <r>
    <n v="1592"/>
    <x v="68"/>
    <x v="0"/>
    <x v="2"/>
    <x v="2"/>
    <n v="2"/>
    <n v="2.5"/>
    <n v="5"/>
  </r>
  <r>
    <n v="1593"/>
    <x v="61"/>
    <x v="0"/>
    <x v="2"/>
    <x v="2"/>
    <n v="6"/>
    <n v="2.5"/>
    <n v="15"/>
  </r>
  <r>
    <n v="1594"/>
    <x v="163"/>
    <x v="3"/>
    <x v="7"/>
    <x v="0"/>
    <n v="2"/>
    <n v="2.1"/>
    <n v="4.2"/>
  </r>
  <r>
    <n v="1595"/>
    <x v="126"/>
    <x v="0"/>
    <x v="2"/>
    <x v="2"/>
    <n v="5"/>
    <n v="2.5"/>
    <n v="12.5"/>
  </r>
  <r>
    <n v="1596"/>
    <x v="31"/>
    <x v="0"/>
    <x v="7"/>
    <x v="0"/>
    <n v="2"/>
    <n v="2.1"/>
    <n v="4.2"/>
  </r>
  <r>
    <n v="1597"/>
    <x v="0"/>
    <x v="1"/>
    <x v="9"/>
    <x v="4"/>
    <n v="1"/>
    <n v="2.4"/>
    <n v="2.4"/>
  </r>
  <r>
    <n v="1598"/>
    <x v="126"/>
    <x v="0"/>
    <x v="9"/>
    <x v="4"/>
    <n v="5"/>
    <n v="2.4"/>
    <n v="12"/>
  </r>
  <r>
    <n v="1599"/>
    <x v="142"/>
    <x v="0"/>
    <x v="2"/>
    <x v="2"/>
    <n v="4"/>
    <n v="2.5"/>
    <n v="10"/>
  </r>
  <r>
    <n v="1600"/>
    <x v="2"/>
    <x v="2"/>
    <x v="0"/>
    <x v="0"/>
    <n v="1"/>
    <n v="3.2"/>
    <n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36C68-DA88-8E44-9D28-DD5E8FA14D26}"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3:E24" firstHeaderRow="1" firstDataRow="1" firstDataCol="1"/>
  <pivotFields count="8">
    <pivotField showAll="0"/>
    <pivotField showAll="0"/>
    <pivotField showAll="0">
      <items count="5">
        <item x="2"/>
        <item x="0"/>
        <item x="1"/>
        <item x="3"/>
        <item t="default"/>
      </items>
    </pivotField>
    <pivotField axis="axisRow" showAll="0">
      <items count="11">
        <item x="6"/>
        <item x="1"/>
        <item x="8"/>
        <item x="7"/>
        <item x="4"/>
        <item x="3"/>
        <item x="2"/>
        <item x="0"/>
        <item x="5"/>
        <item x="9"/>
        <item t="default"/>
      </items>
    </pivotField>
    <pivotField showAll="0"/>
    <pivotField showAll="0"/>
    <pivotField showAll="0"/>
    <pivotField dataField="1" showAll="0"/>
  </pivotFields>
  <rowFields count="1">
    <field x="3"/>
  </rowFields>
  <rowItems count="11">
    <i>
      <x/>
    </i>
    <i>
      <x v="1"/>
    </i>
    <i>
      <x v="2"/>
    </i>
    <i>
      <x v="3"/>
    </i>
    <i>
      <x v="4"/>
    </i>
    <i>
      <x v="5"/>
    </i>
    <i>
      <x v="6"/>
    </i>
    <i>
      <x v="7"/>
    </i>
    <i>
      <x v="8"/>
    </i>
    <i>
      <x v="9"/>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41DDA-68FC-134E-B341-B162F49D659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89" firstHeaderRow="1" firstDataRow="1" firstDataCol="1"/>
  <pivotFields count="8">
    <pivotField showAll="0"/>
    <pivotField axis="axisRow" showAll="0" sortType="descending">
      <items count="176">
        <item x="114"/>
        <item x="118"/>
        <item x="88"/>
        <item x="51"/>
        <item x="173"/>
        <item x="107"/>
        <item x="39"/>
        <item x="41"/>
        <item x="146"/>
        <item x="90"/>
        <item x="82"/>
        <item x="61"/>
        <item x="124"/>
        <item x="104"/>
        <item x="111"/>
        <item x="139"/>
        <item x="36"/>
        <item x="13"/>
        <item x="81"/>
        <item x="134"/>
        <item x="72"/>
        <item x="56"/>
        <item x="12"/>
        <item x="70"/>
        <item x="91"/>
        <item x="77"/>
        <item x="156"/>
        <item x="167"/>
        <item x="116"/>
        <item x="22"/>
        <item x="30"/>
        <item x="166"/>
        <item x="67"/>
        <item x="168"/>
        <item x="64"/>
        <item x="115"/>
        <item x="136"/>
        <item x="84"/>
        <item x="60"/>
        <item x="122"/>
        <item x="108"/>
        <item x="130"/>
        <item x="46"/>
        <item x="19"/>
        <item x="170"/>
        <item x="99"/>
        <item x="25"/>
        <item x="162"/>
        <item x="14"/>
        <item x="5"/>
        <item x="127"/>
        <item x="93"/>
        <item x="125"/>
        <item x="159"/>
        <item x="92"/>
        <item x="152"/>
        <item x="20"/>
        <item x="76"/>
        <item x="135"/>
        <item x="171"/>
        <item x="98"/>
        <item x="1"/>
        <item x="32"/>
        <item x="89"/>
        <item x="105"/>
        <item x="4"/>
        <item x="17"/>
        <item x="48"/>
        <item x="49"/>
        <item x="71"/>
        <item x="142"/>
        <item x="8"/>
        <item x="28"/>
        <item x="57"/>
        <item x="34"/>
        <item x="158"/>
        <item x="129"/>
        <item x="149"/>
        <item x="140"/>
        <item x="47"/>
        <item x="40"/>
        <item x="148"/>
        <item x="113"/>
        <item x="126"/>
        <item x="79"/>
        <item x="145"/>
        <item x="69"/>
        <item x="151"/>
        <item x="23"/>
        <item x="161"/>
        <item x="87"/>
        <item x="164"/>
        <item x="58"/>
        <item x="45"/>
        <item x="121"/>
        <item x="85"/>
        <item x="117"/>
        <item x="153"/>
        <item x="66"/>
        <item x="29"/>
        <item x="54"/>
        <item x="163"/>
        <item x="2"/>
        <item x="73"/>
        <item x="63"/>
        <item x="132"/>
        <item x="101"/>
        <item x="52"/>
        <item x="21"/>
        <item x="43"/>
        <item x="55"/>
        <item x="26"/>
        <item x="102"/>
        <item x="144"/>
        <item x="143"/>
        <item x="9"/>
        <item x="141"/>
        <item x="147"/>
        <item x="16"/>
        <item x="62"/>
        <item x="42"/>
        <item x="100"/>
        <item x="97"/>
        <item x="160"/>
        <item x="37"/>
        <item x="6"/>
        <item x="10"/>
        <item x="35"/>
        <item x="95"/>
        <item x="33"/>
        <item x="31"/>
        <item x="24"/>
        <item x="109"/>
        <item x="86"/>
        <item x="119"/>
        <item x="157"/>
        <item x="96"/>
        <item x="74"/>
        <item x="169"/>
        <item x="53"/>
        <item x="123"/>
        <item x="18"/>
        <item x="112"/>
        <item x="78"/>
        <item x="65"/>
        <item x="80"/>
        <item x="131"/>
        <item x="110"/>
        <item x="27"/>
        <item x="7"/>
        <item x="154"/>
        <item x="138"/>
        <item x="150"/>
        <item x="94"/>
        <item x="137"/>
        <item x="83"/>
        <item x="3"/>
        <item x="50"/>
        <item x="15"/>
        <item x="128"/>
        <item x="133"/>
        <item x="174"/>
        <item x="75"/>
        <item x="68"/>
        <item x="38"/>
        <item x="59"/>
        <item x="103"/>
        <item x="120"/>
        <item x="11"/>
        <item x="172"/>
        <item x="0"/>
        <item x="106"/>
        <item x="155"/>
        <item x="165"/>
        <item x="4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showAll="0"/>
    <pivotField dataField="1" showAll="0"/>
  </pivotFields>
  <rowFields count="1">
    <field x="1"/>
  </rowFields>
  <rowItems count="176">
    <i>
      <x v="125"/>
    </i>
    <i>
      <x v="111"/>
    </i>
    <i>
      <x/>
    </i>
    <i>
      <x v="157"/>
    </i>
    <i>
      <x v="22"/>
    </i>
    <i>
      <x v="109"/>
    </i>
    <i>
      <x v="120"/>
    </i>
    <i>
      <x v="20"/>
    </i>
    <i>
      <x v="149"/>
    </i>
    <i>
      <x v="102"/>
    </i>
    <i>
      <x v="158"/>
    </i>
    <i>
      <x v="5"/>
    </i>
    <i>
      <x v="103"/>
    </i>
    <i>
      <x v="84"/>
    </i>
    <i>
      <x v="92"/>
    </i>
    <i>
      <x v="9"/>
    </i>
    <i>
      <x v="142"/>
    </i>
    <i>
      <x v="100"/>
    </i>
    <i>
      <x v="11"/>
    </i>
    <i>
      <x v="98"/>
    </i>
    <i>
      <x v="159"/>
    </i>
    <i>
      <x v="170"/>
    </i>
    <i>
      <x v="107"/>
    </i>
    <i>
      <x v="24"/>
    </i>
    <i>
      <x v="79"/>
    </i>
    <i>
      <x v="154"/>
    </i>
    <i>
      <x v="153"/>
    </i>
    <i>
      <x v="58"/>
    </i>
    <i>
      <x v="152"/>
    </i>
    <i>
      <x v="126"/>
    </i>
    <i>
      <x v="77"/>
    </i>
    <i>
      <x v="35"/>
    </i>
    <i>
      <x v="129"/>
    </i>
    <i>
      <x v="93"/>
    </i>
    <i>
      <x v="165"/>
    </i>
    <i>
      <x v="83"/>
    </i>
    <i>
      <x v="74"/>
    </i>
    <i>
      <x v="37"/>
    </i>
    <i>
      <x v="164"/>
    </i>
    <i>
      <x v="54"/>
    </i>
    <i>
      <x v="29"/>
    </i>
    <i>
      <x v="15"/>
    </i>
    <i>
      <x v="146"/>
    </i>
    <i>
      <x v="42"/>
    </i>
    <i>
      <x v="147"/>
    </i>
    <i>
      <x v="18"/>
    </i>
    <i>
      <x v="132"/>
    </i>
    <i>
      <x v="168"/>
    </i>
    <i>
      <x v="119"/>
    </i>
    <i>
      <x v="76"/>
    </i>
    <i>
      <x v="136"/>
    </i>
    <i>
      <x v="61"/>
    </i>
    <i>
      <x v="162"/>
    </i>
    <i>
      <x v="88"/>
    </i>
    <i>
      <x v="10"/>
    </i>
    <i>
      <x v="118"/>
    </i>
    <i>
      <x v="64"/>
    </i>
    <i>
      <x v="53"/>
    </i>
    <i>
      <x v="145"/>
    </i>
    <i>
      <x v="69"/>
    </i>
    <i>
      <x v="23"/>
    </i>
    <i>
      <x v="105"/>
    </i>
    <i>
      <x v="45"/>
    </i>
    <i>
      <x v="6"/>
    </i>
    <i>
      <x v="38"/>
    </i>
    <i>
      <x v="108"/>
    </i>
    <i>
      <x v="143"/>
    </i>
    <i>
      <x v="127"/>
    </i>
    <i>
      <x v="49"/>
    </i>
    <i>
      <x v="114"/>
    </i>
    <i>
      <x v="173"/>
    </i>
    <i>
      <x v="85"/>
    </i>
    <i>
      <x v="50"/>
    </i>
    <i>
      <x v="51"/>
    </i>
    <i>
      <x v="13"/>
    </i>
    <i>
      <x v="63"/>
    </i>
    <i>
      <x v="115"/>
    </i>
    <i>
      <x v="46"/>
    </i>
    <i>
      <x v="48"/>
    </i>
    <i>
      <x v="1"/>
    </i>
    <i>
      <x v="57"/>
    </i>
    <i>
      <x v="78"/>
    </i>
    <i>
      <x v="82"/>
    </i>
    <i>
      <x v="122"/>
    </i>
    <i>
      <x v="124"/>
    </i>
    <i>
      <x v="31"/>
    </i>
    <i>
      <x v="137"/>
    </i>
    <i>
      <x v="14"/>
    </i>
    <i>
      <x v="12"/>
    </i>
    <i>
      <x v="141"/>
    </i>
    <i>
      <x v="21"/>
    </i>
    <i>
      <x v="174"/>
    </i>
    <i>
      <x v="68"/>
    </i>
    <i>
      <x v="148"/>
    </i>
    <i>
      <x v="104"/>
    </i>
    <i>
      <x v="99"/>
    </i>
    <i>
      <x v="155"/>
    </i>
    <i>
      <x v="171"/>
    </i>
    <i>
      <x v="123"/>
    </i>
    <i>
      <x v="70"/>
    </i>
    <i>
      <x v="72"/>
    </i>
    <i>
      <x v="151"/>
    </i>
    <i>
      <x v="144"/>
    </i>
    <i>
      <x v="32"/>
    </i>
    <i>
      <x v="89"/>
    </i>
    <i>
      <x v="66"/>
    </i>
    <i>
      <x v="140"/>
    </i>
    <i>
      <x v="62"/>
    </i>
    <i>
      <x v="2"/>
    </i>
    <i>
      <x v="19"/>
    </i>
    <i>
      <x v="121"/>
    </i>
    <i>
      <x v="138"/>
    </i>
    <i>
      <x v="16"/>
    </i>
    <i>
      <x v="90"/>
    </i>
    <i>
      <x v="75"/>
    </i>
    <i>
      <x v="110"/>
    </i>
    <i>
      <x v="55"/>
    </i>
    <i>
      <x v="59"/>
    </i>
    <i>
      <x v="130"/>
    </i>
    <i>
      <x v="81"/>
    </i>
    <i>
      <x v="94"/>
    </i>
    <i>
      <x v="34"/>
    </i>
    <i>
      <x v="47"/>
    </i>
    <i>
      <x v="67"/>
    </i>
    <i>
      <x v="25"/>
    </i>
    <i>
      <x v="96"/>
    </i>
    <i>
      <x v="71"/>
    </i>
    <i>
      <x v="117"/>
    </i>
    <i>
      <x v="139"/>
    </i>
    <i>
      <x v="41"/>
    </i>
    <i>
      <x v="73"/>
    </i>
    <i>
      <x v="86"/>
    </i>
    <i>
      <x v="52"/>
    </i>
    <i>
      <x v="17"/>
    </i>
    <i>
      <x v="133"/>
    </i>
    <i>
      <x v="113"/>
    </i>
    <i>
      <x v="106"/>
    </i>
    <i>
      <x v="3"/>
    </i>
    <i>
      <x v="43"/>
    </i>
    <i>
      <x v="167"/>
    </i>
    <i>
      <x v="116"/>
    </i>
    <i>
      <x v="7"/>
    </i>
    <i>
      <x v="36"/>
    </i>
    <i>
      <x v="26"/>
    </i>
    <i>
      <x v="172"/>
    </i>
    <i>
      <x v="112"/>
    </i>
    <i>
      <x v="163"/>
    </i>
    <i>
      <x v="8"/>
    </i>
    <i>
      <x v="27"/>
    </i>
    <i>
      <x v="128"/>
    </i>
    <i>
      <x v="30"/>
    </i>
    <i>
      <x v="44"/>
    </i>
    <i>
      <x v="28"/>
    </i>
    <i>
      <x v="160"/>
    </i>
    <i>
      <x v="65"/>
    </i>
    <i>
      <x v="131"/>
    </i>
    <i>
      <x v="166"/>
    </i>
    <i>
      <x v="4"/>
    </i>
    <i>
      <x v="39"/>
    </i>
    <i>
      <x v="156"/>
    </i>
    <i>
      <x v="87"/>
    </i>
    <i>
      <x v="95"/>
    </i>
    <i>
      <x v="161"/>
    </i>
    <i>
      <x v="33"/>
    </i>
    <i>
      <x v="56"/>
    </i>
    <i>
      <x v="101"/>
    </i>
    <i>
      <x v="91"/>
    </i>
    <i>
      <x v="150"/>
    </i>
    <i>
      <x v="135"/>
    </i>
    <i>
      <x v="60"/>
    </i>
    <i>
      <x v="169"/>
    </i>
    <i>
      <x v="40"/>
    </i>
    <i>
      <x v="134"/>
    </i>
    <i>
      <x v="80"/>
    </i>
    <i>
      <x v="97"/>
    </i>
    <i t="grand">
      <x/>
    </i>
  </rowItems>
  <colItems count="1">
    <i/>
  </colItems>
  <dataFields count="1">
    <dataField name="Sum of Revenue"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C9C498-F721-EC43-8DD2-BFD2C6A2BB02}"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pivotFields count="8">
    <pivotField showAll="0"/>
    <pivotField showAll="0"/>
    <pivotField showAll="0">
      <items count="5">
        <item x="2"/>
        <item x="0"/>
        <item x="1"/>
        <item x="3"/>
        <item t="default"/>
      </items>
    </pivotField>
    <pivotField showAll="0"/>
    <pivotField axis="axisRow" showAll="0">
      <items count="6">
        <item x="1"/>
        <item x="0"/>
        <item x="2"/>
        <item x="4"/>
        <item x="3"/>
        <item t="default"/>
      </items>
    </pivotField>
    <pivotField showAll="0"/>
    <pivotField showAll="0"/>
    <pivotField dataField="1" showAll="0"/>
  </pivotFields>
  <rowFields count="1">
    <field x="4"/>
  </rowFields>
  <rowItems count="6">
    <i>
      <x/>
    </i>
    <i>
      <x v="1"/>
    </i>
    <i>
      <x v="2"/>
    </i>
    <i>
      <x v="3"/>
    </i>
    <i>
      <x v="4"/>
    </i>
    <i t="grand">
      <x/>
    </i>
  </rowItems>
  <colItems count="1">
    <i/>
  </colItems>
  <dataFields count="1">
    <dataField name="Sum of Revenue" fld="7"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13E6FA-3259-D841-9E06-91DD586EE2F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8">
    <pivotField showAll="0"/>
    <pivotField showAll="0"/>
    <pivotField axis="axisRow" showAll="0">
      <items count="5">
        <item x="2"/>
        <item x="0"/>
        <item x="1"/>
        <item x="3"/>
        <item t="default"/>
      </items>
    </pivotField>
    <pivotField showAll="0">
      <items count="11">
        <item x="6"/>
        <item x="1"/>
        <item x="8"/>
        <item x="7"/>
        <item x="4"/>
        <item x="3"/>
        <item x="2"/>
        <item x="0"/>
        <item x="5"/>
        <item x="9"/>
        <item t="default"/>
      </items>
    </pivotField>
    <pivotField showAll="0">
      <items count="6">
        <item x="1"/>
        <item x="0"/>
        <item x="2"/>
        <item x="4"/>
        <item x="3"/>
        <item t="default"/>
      </items>
    </pivotField>
    <pivotField showAll="0"/>
    <pivotField showAll="0"/>
    <pivotField dataField="1" showAll="0"/>
  </pivotFields>
  <rowFields count="1">
    <field x="2"/>
  </rowFields>
  <rowItems count="5">
    <i>
      <x/>
    </i>
    <i>
      <x v="1"/>
    </i>
    <i>
      <x v="2"/>
    </i>
    <i>
      <x v="3"/>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7B92C64-8D37-C448-8436-B67C02E80576}" sourceName="City">
  <pivotTables>
    <pivotTable tabId="3" name="PivotTable1"/>
    <pivotTable tabId="3" name="PivotTable4"/>
    <pivotTable tabId="3" name="PivotTable6"/>
    <pivotTable tabId="3" name="PivotTable9"/>
  </pivotTables>
  <data>
    <tabular pivotCacheId="101751582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04D4638-49AD-B846-BCC4-EA2A56F4C907}" sourceName="Product">
  <pivotTables>
    <pivotTable tabId="3" name="PivotTable1"/>
  </pivotTables>
  <data>
    <tabular pivotCacheId="1017515828">
      <items count="10">
        <i x="6" s="1"/>
        <i x="1" s="1"/>
        <i x="8" s="1"/>
        <i x="7" s="1"/>
        <i x="4" s="1"/>
        <i x="3" s="1"/>
        <i x="2" s="1"/>
        <i x="0" s="1"/>
        <i x="5"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40CB40-1DC9-F84C-BCBE-0820E9BBD1E8}" sourceName="Category">
  <pivotTables>
    <pivotTable tabId="3" name="PivotTable1"/>
  </pivotTables>
  <data>
    <tabular pivotCacheId="1017515828">
      <items count="5">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95EE31D-D1B1-CE4C-A2B0-911F0B29EE90}" cache="Slicer_City" caption="City" rowHeight="230716"/>
  <slicer name="Product 1" xr10:uid="{97B1C92D-D720-1141-AD93-26E5F67639DD}" cache="Slicer_Product" caption="Product" rowHeight="230716"/>
  <slicer name="Category 1" xr10:uid="{CCC6C42C-F714-0949-882B-459D8468867D}"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DF2ED-78A2-5B4D-BA03-7080B6452500}" name="grocery_data" displayName="grocery_data" ref="A1:H601" totalsRowShown="0">
  <autoFilter ref="A1:H601" xr:uid="{857DF2ED-78A2-5B4D-BA03-7080B6452500}"/>
  <tableColumns count="8">
    <tableColumn id="1" xr3:uid="{5A8CD535-0A86-7C4B-97F6-BB6BD7F09C51}" name="Order_ID"/>
    <tableColumn id="2" xr3:uid="{600DB58C-29E6-934B-BA11-46082DC7CAAC}" name="Date"/>
    <tableColumn id="3" xr3:uid="{C6E12C28-7DEA-E944-8DBA-7C473F47FF1C}" name="City"/>
    <tableColumn id="4" xr3:uid="{87F61AED-B3D9-8843-BF2A-C2F234F2B049}" name="Product"/>
    <tableColumn id="5" xr3:uid="{EE03F107-738F-F242-987D-B5D7B1EDD01A}" name="Category"/>
    <tableColumn id="6" xr3:uid="{EDDA4F2E-BED5-6F4F-9792-0CC859CAF960}" name="Quantity"/>
    <tableColumn id="7" xr3:uid="{447389F6-ACEA-8442-ACAE-3B5BC8A92B57}" name="Price"/>
    <tableColumn id="8" xr3:uid="{3A7AD20B-2D3E-8E4A-84C5-76E6A7F7FDE2}" name="Revenu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3FFC3D-0294-5A40-BE6D-1810EAABC321}" name="Table7" displayName="Table7" ref="A2:D4" totalsRowShown="0" headerRowDxfId="0">
  <autoFilter ref="A2:D4" xr:uid="{403FFC3D-0294-5A40-BE6D-1810EAABC321}"/>
  <tableColumns count="4">
    <tableColumn id="1" xr3:uid="{419C37D5-4579-894E-9528-95F9D04BCEF4}" name="KPI 1 - Total Revenue">
      <calculatedColumnFormula>SUM(grocery_data[Revenue])</calculatedColumnFormula>
    </tableColumn>
    <tableColumn id="2" xr3:uid="{BDA14252-F78C-8640-991A-1396AF7005EB}" name="KPI 2 - Total Orders">
      <calculatedColumnFormula>COUNTA(grocery_data[Order_ID])</calculatedColumnFormula>
    </tableColumn>
    <tableColumn id="3" xr3:uid="{D8BC7EA6-EC3F-BA4C-80C9-1948E2E2F339}" name="KPI 3 - Average Order Value">
      <calculatedColumnFormula>AVERAGE(grocery_data[Revenue])</calculatedColumnFormula>
    </tableColumn>
    <tableColumn id="4" xr3:uid="{CDBFF3E8-5481-9143-9F0F-23ED8851298E}" name="KPI 4 - Total Products Sold">
      <calculatedColumnFormula>SUM(grocery_data[Quantity])</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1"/>
  <sheetViews>
    <sheetView topLeftCell="A2" workbookViewId="0">
      <selection activeCell="B18" sqref="B18"/>
    </sheetView>
  </sheetViews>
  <sheetFormatPr baseColWidth="10" defaultColWidth="8.83203125" defaultRowHeight="15" x14ac:dyDescent="0.2"/>
  <cols>
    <col min="1" max="1" width="10.5" customWidth="1"/>
    <col min="2" max="2" width="12" customWidth="1"/>
    <col min="3" max="3" width="10" customWidth="1"/>
    <col min="4" max="4" width="11.6640625" customWidth="1"/>
    <col min="5" max="6" width="10.33203125" customWidth="1"/>
    <col min="8" max="8" width="10.33203125" customWidth="1"/>
  </cols>
  <sheetData>
    <row r="1" spans="1:8" x14ac:dyDescent="0.2">
      <c r="A1" t="s">
        <v>0</v>
      </c>
      <c r="B1" t="s">
        <v>1</v>
      </c>
      <c r="C1" t="s">
        <v>2</v>
      </c>
      <c r="D1" t="s">
        <v>3</v>
      </c>
      <c r="E1" t="s">
        <v>4</v>
      </c>
      <c r="F1" t="s">
        <v>5</v>
      </c>
      <c r="G1" t="s">
        <v>6</v>
      </c>
      <c r="H1" t="s">
        <v>7</v>
      </c>
    </row>
    <row r="2" spans="1:8" x14ac:dyDescent="0.2">
      <c r="A2">
        <v>1001</v>
      </c>
      <c r="B2" t="s">
        <v>8</v>
      </c>
      <c r="C2" t="s">
        <v>9</v>
      </c>
      <c r="D2" t="s">
        <v>10</v>
      </c>
      <c r="E2" t="s">
        <v>11</v>
      </c>
      <c r="F2">
        <v>6</v>
      </c>
      <c r="G2">
        <v>3.2</v>
      </c>
      <c r="H2">
        <v>19.2</v>
      </c>
    </row>
    <row r="3" spans="1:8" x14ac:dyDescent="0.2">
      <c r="A3">
        <v>1002</v>
      </c>
      <c r="B3" t="s">
        <v>12</v>
      </c>
      <c r="C3" t="s">
        <v>13</v>
      </c>
      <c r="D3" t="s">
        <v>14</v>
      </c>
      <c r="E3" t="s">
        <v>15</v>
      </c>
      <c r="F3">
        <v>2</v>
      </c>
      <c r="G3">
        <v>2</v>
      </c>
      <c r="H3">
        <v>4</v>
      </c>
    </row>
    <row r="4" spans="1:8" x14ac:dyDescent="0.2">
      <c r="A4">
        <v>1003</v>
      </c>
      <c r="B4" t="s">
        <v>16</v>
      </c>
      <c r="C4" t="s">
        <v>13</v>
      </c>
      <c r="D4" t="s">
        <v>17</v>
      </c>
      <c r="E4" t="s">
        <v>18</v>
      </c>
      <c r="F4">
        <v>6</v>
      </c>
      <c r="G4">
        <v>2.5</v>
      </c>
      <c r="H4">
        <v>15</v>
      </c>
    </row>
    <row r="5" spans="1:8" x14ac:dyDescent="0.2">
      <c r="A5">
        <v>1004</v>
      </c>
      <c r="B5" t="s">
        <v>19</v>
      </c>
      <c r="C5" t="s">
        <v>9</v>
      </c>
      <c r="D5" t="s">
        <v>10</v>
      </c>
      <c r="E5" t="s">
        <v>11</v>
      </c>
      <c r="F5">
        <v>1</v>
      </c>
      <c r="G5">
        <v>3.2</v>
      </c>
      <c r="H5">
        <v>3.2</v>
      </c>
    </row>
    <row r="6" spans="1:8" x14ac:dyDescent="0.2">
      <c r="A6">
        <v>1005</v>
      </c>
      <c r="B6" t="s">
        <v>20</v>
      </c>
      <c r="C6" t="s">
        <v>13</v>
      </c>
      <c r="D6" t="s">
        <v>21</v>
      </c>
      <c r="E6" t="s">
        <v>22</v>
      </c>
      <c r="F6">
        <v>2</v>
      </c>
      <c r="G6">
        <v>6.5</v>
      </c>
      <c r="H6">
        <v>13</v>
      </c>
    </row>
    <row r="7" spans="1:8" x14ac:dyDescent="0.2">
      <c r="A7">
        <v>1006</v>
      </c>
      <c r="B7" t="s">
        <v>23</v>
      </c>
      <c r="C7" t="s">
        <v>24</v>
      </c>
      <c r="D7" t="s">
        <v>25</v>
      </c>
      <c r="E7" t="s">
        <v>15</v>
      </c>
      <c r="F7">
        <v>6</v>
      </c>
      <c r="G7">
        <v>2.7</v>
      </c>
      <c r="H7">
        <v>16.2</v>
      </c>
    </row>
    <row r="8" spans="1:8" x14ac:dyDescent="0.2">
      <c r="A8">
        <v>1007</v>
      </c>
      <c r="B8" t="s">
        <v>26</v>
      </c>
      <c r="C8" t="s">
        <v>24</v>
      </c>
      <c r="D8" t="s">
        <v>25</v>
      </c>
      <c r="E8" t="s">
        <v>15</v>
      </c>
      <c r="F8">
        <v>5</v>
      </c>
      <c r="G8">
        <v>2.7</v>
      </c>
      <c r="H8">
        <v>13.5</v>
      </c>
    </row>
    <row r="9" spans="1:8" x14ac:dyDescent="0.2">
      <c r="A9">
        <v>1008</v>
      </c>
      <c r="B9" t="s">
        <v>27</v>
      </c>
      <c r="C9" t="s">
        <v>28</v>
      </c>
      <c r="D9" t="s">
        <v>29</v>
      </c>
      <c r="E9" t="s">
        <v>22</v>
      </c>
      <c r="F9">
        <v>6</v>
      </c>
      <c r="G9">
        <v>4.2</v>
      </c>
      <c r="H9">
        <v>25.2</v>
      </c>
    </row>
    <row r="10" spans="1:8" x14ac:dyDescent="0.2">
      <c r="A10">
        <v>1009</v>
      </c>
      <c r="B10" t="s">
        <v>26</v>
      </c>
      <c r="C10" t="s">
        <v>28</v>
      </c>
      <c r="D10" t="s">
        <v>29</v>
      </c>
      <c r="E10" t="s">
        <v>22</v>
      </c>
      <c r="F10">
        <v>5</v>
      </c>
      <c r="G10">
        <v>4.2</v>
      </c>
      <c r="H10">
        <v>21</v>
      </c>
    </row>
    <row r="11" spans="1:8" x14ac:dyDescent="0.2">
      <c r="A11">
        <v>1010</v>
      </c>
      <c r="B11" t="s">
        <v>30</v>
      </c>
      <c r="C11" t="s">
        <v>9</v>
      </c>
      <c r="D11" t="s">
        <v>31</v>
      </c>
      <c r="E11" t="s">
        <v>32</v>
      </c>
      <c r="F11">
        <v>3</v>
      </c>
      <c r="G11">
        <v>3</v>
      </c>
      <c r="H11">
        <v>9</v>
      </c>
    </row>
    <row r="12" spans="1:8" x14ac:dyDescent="0.2">
      <c r="A12">
        <v>1011</v>
      </c>
      <c r="B12" t="s">
        <v>33</v>
      </c>
      <c r="C12" t="s">
        <v>13</v>
      </c>
      <c r="D12" t="s">
        <v>34</v>
      </c>
      <c r="E12" t="s">
        <v>11</v>
      </c>
      <c r="F12">
        <v>6</v>
      </c>
      <c r="G12">
        <v>2.1</v>
      </c>
      <c r="H12">
        <v>12.6</v>
      </c>
    </row>
    <row r="13" spans="1:8" x14ac:dyDescent="0.2">
      <c r="A13">
        <v>1012</v>
      </c>
      <c r="B13" t="s">
        <v>35</v>
      </c>
      <c r="C13" t="s">
        <v>24</v>
      </c>
      <c r="D13" t="s">
        <v>14</v>
      </c>
      <c r="E13" t="s">
        <v>15</v>
      </c>
      <c r="F13">
        <v>1</v>
      </c>
      <c r="G13">
        <v>2</v>
      </c>
      <c r="H13">
        <v>2</v>
      </c>
    </row>
    <row r="14" spans="1:8" x14ac:dyDescent="0.2">
      <c r="A14">
        <v>1013</v>
      </c>
      <c r="B14" t="s">
        <v>36</v>
      </c>
      <c r="C14" t="s">
        <v>28</v>
      </c>
      <c r="D14" t="s">
        <v>25</v>
      </c>
      <c r="E14" t="s">
        <v>15</v>
      </c>
      <c r="F14">
        <v>4</v>
      </c>
      <c r="G14">
        <v>2.7</v>
      </c>
      <c r="H14">
        <v>10.8</v>
      </c>
    </row>
    <row r="15" spans="1:8" x14ac:dyDescent="0.2">
      <c r="A15">
        <v>1014</v>
      </c>
      <c r="B15" t="s">
        <v>37</v>
      </c>
      <c r="C15" t="s">
        <v>9</v>
      </c>
      <c r="D15" t="s">
        <v>34</v>
      </c>
      <c r="E15" t="s">
        <v>11</v>
      </c>
      <c r="F15">
        <v>6</v>
      </c>
      <c r="G15">
        <v>2.1</v>
      </c>
      <c r="H15">
        <v>12.6</v>
      </c>
    </row>
    <row r="16" spans="1:8" x14ac:dyDescent="0.2">
      <c r="A16">
        <v>1015</v>
      </c>
      <c r="B16" t="s">
        <v>38</v>
      </c>
      <c r="C16" t="s">
        <v>28</v>
      </c>
      <c r="D16" t="s">
        <v>31</v>
      </c>
      <c r="E16" t="s">
        <v>32</v>
      </c>
      <c r="F16">
        <v>4</v>
      </c>
      <c r="G16">
        <v>3</v>
      </c>
      <c r="H16">
        <v>12</v>
      </c>
    </row>
    <row r="17" spans="1:8" x14ac:dyDescent="0.2">
      <c r="A17">
        <v>1016</v>
      </c>
      <c r="B17" t="s">
        <v>39</v>
      </c>
      <c r="C17" t="s">
        <v>13</v>
      </c>
      <c r="D17" t="s">
        <v>29</v>
      </c>
      <c r="E17" t="s">
        <v>22</v>
      </c>
      <c r="F17">
        <v>3</v>
      </c>
      <c r="G17">
        <v>4.2</v>
      </c>
      <c r="H17">
        <v>12.6</v>
      </c>
    </row>
    <row r="18" spans="1:8" x14ac:dyDescent="0.2">
      <c r="A18">
        <v>1017</v>
      </c>
      <c r="B18" t="s">
        <v>40</v>
      </c>
      <c r="C18" t="s">
        <v>13</v>
      </c>
      <c r="D18" t="s">
        <v>25</v>
      </c>
      <c r="E18" t="s">
        <v>15</v>
      </c>
      <c r="F18">
        <v>3</v>
      </c>
      <c r="G18">
        <v>2.7</v>
      </c>
      <c r="H18">
        <v>8.1</v>
      </c>
    </row>
    <row r="19" spans="1:8" x14ac:dyDescent="0.2">
      <c r="A19">
        <v>1018</v>
      </c>
      <c r="B19" t="s">
        <v>41</v>
      </c>
      <c r="C19" t="s">
        <v>9</v>
      </c>
      <c r="D19" t="s">
        <v>17</v>
      </c>
      <c r="E19" t="s">
        <v>18</v>
      </c>
      <c r="F19">
        <v>4</v>
      </c>
      <c r="G19">
        <v>2.5</v>
      </c>
      <c r="H19">
        <v>10</v>
      </c>
    </row>
    <row r="20" spans="1:8" x14ac:dyDescent="0.2">
      <c r="A20">
        <v>1019</v>
      </c>
      <c r="B20" t="s">
        <v>37</v>
      </c>
      <c r="C20" t="s">
        <v>9</v>
      </c>
      <c r="D20" t="s">
        <v>17</v>
      </c>
      <c r="E20" t="s">
        <v>18</v>
      </c>
      <c r="F20">
        <v>1</v>
      </c>
      <c r="G20">
        <v>2.5</v>
      </c>
      <c r="H20">
        <v>2.5</v>
      </c>
    </row>
    <row r="21" spans="1:8" x14ac:dyDescent="0.2">
      <c r="A21">
        <v>1020</v>
      </c>
      <c r="B21" t="s">
        <v>42</v>
      </c>
      <c r="C21" t="s">
        <v>24</v>
      </c>
      <c r="D21" t="s">
        <v>43</v>
      </c>
      <c r="E21" t="s">
        <v>18</v>
      </c>
      <c r="F21">
        <v>5</v>
      </c>
      <c r="G21">
        <v>3.8</v>
      </c>
      <c r="H21">
        <v>19</v>
      </c>
    </row>
    <row r="22" spans="1:8" x14ac:dyDescent="0.2">
      <c r="A22">
        <v>1021</v>
      </c>
      <c r="B22" t="s">
        <v>44</v>
      </c>
      <c r="C22" t="s">
        <v>13</v>
      </c>
      <c r="D22" t="s">
        <v>34</v>
      </c>
      <c r="E22" t="s">
        <v>11</v>
      </c>
      <c r="F22">
        <v>6</v>
      </c>
      <c r="G22">
        <v>2.1</v>
      </c>
      <c r="H22">
        <v>12.6</v>
      </c>
    </row>
    <row r="23" spans="1:8" x14ac:dyDescent="0.2">
      <c r="A23">
        <v>1022</v>
      </c>
      <c r="B23" t="s">
        <v>45</v>
      </c>
      <c r="C23" t="s">
        <v>24</v>
      </c>
      <c r="D23" t="s">
        <v>17</v>
      </c>
      <c r="E23" t="s">
        <v>18</v>
      </c>
      <c r="F23">
        <v>1</v>
      </c>
      <c r="G23">
        <v>2.5</v>
      </c>
      <c r="H23">
        <v>2.5</v>
      </c>
    </row>
    <row r="24" spans="1:8" x14ac:dyDescent="0.2">
      <c r="A24">
        <v>1023</v>
      </c>
      <c r="B24" t="s">
        <v>46</v>
      </c>
      <c r="C24" t="s">
        <v>9</v>
      </c>
      <c r="D24" t="s">
        <v>47</v>
      </c>
      <c r="E24" t="s">
        <v>32</v>
      </c>
      <c r="F24">
        <v>3</v>
      </c>
      <c r="G24">
        <v>2.4</v>
      </c>
      <c r="H24">
        <v>7.2</v>
      </c>
    </row>
    <row r="25" spans="1:8" x14ac:dyDescent="0.2">
      <c r="A25">
        <v>1024</v>
      </c>
      <c r="B25" t="s">
        <v>48</v>
      </c>
      <c r="C25" t="s">
        <v>28</v>
      </c>
      <c r="D25" t="s">
        <v>17</v>
      </c>
      <c r="E25" t="s">
        <v>18</v>
      </c>
      <c r="F25">
        <v>1</v>
      </c>
      <c r="G25">
        <v>2.5</v>
      </c>
      <c r="H25">
        <v>2.5</v>
      </c>
    </row>
    <row r="26" spans="1:8" x14ac:dyDescent="0.2">
      <c r="A26">
        <v>1025</v>
      </c>
      <c r="B26" t="s">
        <v>49</v>
      </c>
      <c r="C26" t="s">
        <v>13</v>
      </c>
      <c r="D26" t="s">
        <v>17</v>
      </c>
      <c r="E26" t="s">
        <v>18</v>
      </c>
      <c r="F26">
        <v>6</v>
      </c>
      <c r="G26">
        <v>2.5</v>
      </c>
      <c r="H26">
        <v>15</v>
      </c>
    </row>
    <row r="27" spans="1:8" x14ac:dyDescent="0.2">
      <c r="A27">
        <v>1026</v>
      </c>
      <c r="B27" t="s">
        <v>50</v>
      </c>
      <c r="C27" t="s">
        <v>9</v>
      </c>
      <c r="D27" t="s">
        <v>10</v>
      </c>
      <c r="E27" t="s">
        <v>11</v>
      </c>
      <c r="F27">
        <v>3</v>
      </c>
      <c r="G27">
        <v>3.2</v>
      </c>
      <c r="H27">
        <v>9.6</v>
      </c>
    </row>
    <row r="28" spans="1:8" x14ac:dyDescent="0.2">
      <c r="A28">
        <v>1027</v>
      </c>
      <c r="B28" t="s">
        <v>51</v>
      </c>
      <c r="C28" t="s">
        <v>13</v>
      </c>
      <c r="D28" t="s">
        <v>47</v>
      </c>
      <c r="E28" t="s">
        <v>32</v>
      </c>
      <c r="F28">
        <v>4</v>
      </c>
      <c r="G28">
        <v>2.4</v>
      </c>
      <c r="H28">
        <v>9.6</v>
      </c>
    </row>
    <row r="29" spans="1:8" x14ac:dyDescent="0.2">
      <c r="A29">
        <v>1028</v>
      </c>
      <c r="B29" t="s">
        <v>52</v>
      </c>
      <c r="C29" t="s">
        <v>13</v>
      </c>
      <c r="D29" t="s">
        <v>25</v>
      </c>
      <c r="E29" t="s">
        <v>15</v>
      </c>
      <c r="F29">
        <v>3</v>
      </c>
      <c r="G29">
        <v>2.7</v>
      </c>
      <c r="H29">
        <v>8.1</v>
      </c>
    </row>
    <row r="30" spans="1:8" x14ac:dyDescent="0.2">
      <c r="A30">
        <v>1029</v>
      </c>
      <c r="B30" t="s">
        <v>53</v>
      </c>
      <c r="C30" t="s">
        <v>24</v>
      </c>
      <c r="D30" t="s">
        <v>43</v>
      </c>
      <c r="E30" t="s">
        <v>18</v>
      </c>
      <c r="F30">
        <v>5</v>
      </c>
      <c r="G30">
        <v>3.8</v>
      </c>
      <c r="H30">
        <v>19</v>
      </c>
    </row>
    <row r="31" spans="1:8" x14ac:dyDescent="0.2">
      <c r="A31">
        <v>1030</v>
      </c>
      <c r="B31" t="s">
        <v>40</v>
      </c>
      <c r="C31" t="s">
        <v>9</v>
      </c>
      <c r="D31" t="s">
        <v>31</v>
      </c>
      <c r="E31" t="s">
        <v>32</v>
      </c>
      <c r="F31">
        <v>6</v>
      </c>
      <c r="G31">
        <v>3</v>
      </c>
      <c r="H31">
        <v>18</v>
      </c>
    </row>
    <row r="32" spans="1:8" x14ac:dyDescent="0.2">
      <c r="A32">
        <v>1031</v>
      </c>
      <c r="B32" t="s">
        <v>26</v>
      </c>
      <c r="C32" t="s">
        <v>13</v>
      </c>
      <c r="D32" t="s">
        <v>10</v>
      </c>
      <c r="E32" t="s">
        <v>11</v>
      </c>
      <c r="F32">
        <v>4</v>
      </c>
      <c r="G32">
        <v>3.2</v>
      </c>
      <c r="H32">
        <v>12.8</v>
      </c>
    </row>
    <row r="33" spans="1:8" x14ac:dyDescent="0.2">
      <c r="A33">
        <v>1032</v>
      </c>
      <c r="B33" t="s">
        <v>8</v>
      </c>
      <c r="C33" t="s">
        <v>13</v>
      </c>
      <c r="D33" t="s">
        <v>17</v>
      </c>
      <c r="E33" t="s">
        <v>18</v>
      </c>
      <c r="F33">
        <v>6</v>
      </c>
      <c r="G33">
        <v>2.5</v>
      </c>
      <c r="H33">
        <v>15</v>
      </c>
    </row>
    <row r="34" spans="1:8" x14ac:dyDescent="0.2">
      <c r="A34">
        <v>1033</v>
      </c>
      <c r="B34" t="s">
        <v>54</v>
      </c>
      <c r="C34" t="s">
        <v>24</v>
      </c>
      <c r="D34" t="s">
        <v>34</v>
      </c>
      <c r="E34" t="s">
        <v>11</v>
      </c>
      <c r="F34">
        <v>6</v>
      </c>
      <c r="G34">
        <v>2.1</v>
      </c>
      <c r="H34">
        <v>12.6</v>
      </c>
    </row>
    <row r="35" spans="1:8" x14ac:dyDescent="0.2">
      <c r="A35">
        <v>1034</v>
      </c>
      <c r="B35" t="s">
        <v>55</v>
      </c>
      <c r="C35" t="s">
        <v>28</v>
      </c>
      <c r="D35" t="s">
        <v>34</v>
      </c>
      <c r="E35" t="s">
        <v>11</v>
      </c>
      <c r="F35">
        <v>2</v>
      </c>
      <c r="G35">
        <v>2.1</v>
      </c>
      <c r="H35">
        <v>4.2</v>
      </c>
    </row>
    <row r="36" spans="1:8" x14ac:dyDescent="0.2">
      <c r="A36">
        <v>1035</v>
      </c>
      <c r="B36" t="s">
        <v>56</v>
      </c>
      <c r="C36" t="s">
        <v>13</v>
      </c>
      <c r="D36" t="s">
        <v>25</v>
      </c>
      <c r="E36" t="s">
        <v>15</v>
      </c>
      <c r="F36">
        <v>5</v>
      </c>
      <c r="G36">
        <v>2.7</v>
      </c>
      <c r="H36">
        <v>13.5</v>
      </c>
    </row>
    <row r="37" spans="1:8" x14ac:dyDescent="0.2">
      <c r="A37">
        <v>1036</v>
      </c>
      <c r="B37" t="s">
        <v>12</v>
      </c>
      <c r="C37" t="s">
        <v>9</v>
      </c>
      <c r="D37" t="s">
        <v>21</v>
      </c>
      <c r="E37" t="s">
        <v>22</v>
      </c>
      <c r="F37">
        <v>3</v>
      </c>
      <c r="G37">
        <v>6.5</v>
      </c>
      <c r="H37">
        <v>19.5</v>
      </c>
    </row>
    <row r="38" spans="1:8" x14ac:dyDescent="0.2">
      <c r="A38">
        <v>1037</v>
      </c>
      <c r="B38" t="s">
        <v>57</v>
      </c>
      <c r="C38" t="s">
        <v>9</v>
      </c>
      <c r="D38" t="s">
        <v>17</v>
      </c>
      <c r="E38" t="s">
        <v>18</v>
      </c>
      <c r="F38">
        <v>2</v>
      </c>
      <c r="G38">
        <v>2.5</v>
      </c>
      <c r="H38">
        <v>5</v>
      </c>
    </row>
    <row r="39" spans="1:8" x14ac:dyDescent="0.2">
      <c r="A39">
        <v>1038</v>
      </c>
      <c r="B39" t="s">
        <v>58</v>
      </c>
      <c r="C39" t="s">
        <v>24</v>
      </c>
      <c r="D39" t="s">
        <v>29</v>
      </c>
      <c r="E39" t="s">
        <v>22</v>
      </c>
      <c r="F39">
        <v>1</v>
      </c>
      <c r="G39">
        <v>4.2</v>
      </c>
      <c r="H39">
        <v>4.2</v>
      </c>
    </row>
    <row r="40" spans="1:8" x14ac:dyDescent="0.2">
      <c r="A40">
        <v>1039</v>
      </c>
      <c r="B40" t="s">
        <v>41</v>
      </c>
      <c r="C40" t="s">
        <v>13</v>
      </c>
      <c r="D40" t="s">
        <v>43</v>
      </c>
      <c r="E40" t="s">
        <v>18</v>
      </c>
      <c r="F40">
        <v>1</v>
      </c>
      <c r="G40">
        <v>3.8</v>
      </c>
      <c r="H40">
        <v>3.8</v>
      </c>
    </row>
    <row r="41" spans="1:8" x14ac:dyDescent="0.2">
      <c r="A41">
        <v>1040</v>
      </c>
      <c r="B41" t="s">
        <v>59</v>
      </c>
      <c r="C41" t="s">
        <v>24</v>
      </c>
      <c r="D41" t="s">
        <v>43</v>
      </c>
      <c r="E41" t="s">
        <v>18</v>
      </c>
      <c r="F41">
        <v>5</v>
      </c>
      <c r="G41">
        <v>3.8</v>
      </c>
      <c r="H41">
        <v>19</v>
      </c>
    </row>
    <row r="42" spans="1:8" x14ac:dyDescent="0.2">
      <c r="A42">
        <v>1041</v>
      </c>
      <c r="B42" t="s">
        <v>60</v>
      </c>
      <c r="C42" t="s">
        <v>24</v>
      </c>
      <c r="D42" t="s">
        <v>34</v>
      </c>
      <c r="E42" t="s">
        <v>11</v>
      </c>
      <c r="F42">
        <v>4</v>
      </c>
      <c r="G42">
        <v>2.1</v>
      </c>
      <c r="H42">
        <v>8.4</v>
      </c>
    </row>
    <row r="43" spans="1:8" x14ac:dyDescent="0.2">
      <c r="A43">
        <v>1042</v>
      </c>
      <c r="B43" t="s">
        <v>30</v>
      </c>
      <c r="C43" t="s">
        <v>28</v>
      </c>
      <c r="D43" t="s">
        <v>14</v>
      </c>
      <c r="E43" t="s">
        <v>15</v>
      </c>
      <c r="F43">
        <v>6</v>
      </c>
      <c r="G43">
        <v>2</v>
      </c>
      <c r="H43">
        <v>12</v>
      </c>
    </row>
    <row r="44" spans="1:8" x14ac:dyDescent="0.2">
      <c r="A44">
        <v>1043</v>
      </c>
      <c r="B44" t="s">
        <v>61</v>
      </c>
      <c r="C44" t="s">
        <v>13</v>
      </c>
      <c r="D44" t="s">
        <v>29</v>
      </c>
      <c r="E44" t="s">
        <v>22</v>
      </c>
      <c r="F44">
        <v>3</v>
      </c>
      <c r="G44">
        <v>4.2</v>
      </c>
      <c r="H44">
        <v>12.6</v>
      </c>
    </row>
    <row r="45" spans="1:8" x14ac:dyDescent="0.2">
      <c r="A45">
        <v>1044</v>
      </c>
      <c r="B45" t="s">
        <v>62</v>
      </c>
      <c r="C45" t="s">
        <v>13</v>
      </c>
      <c r="D45" t="s">
        <v>10</v>
      </c>
      <c r="E45" t="s">
        <v>11</v>
      </c>
      <c r="F45">
        <v>4</v>
      </c>
      <c r="G45">
        <v>3.2</v>
      </c>
      <c r="H45">
        <v>12.8</v>
      </c>
    </row>
    <row r="46" spans="1:8" x14ac:dyDescent="0.2">
      <c r="A46">
        <v>1045</v>
      </c>
      <c r="B46" t="s">
        <v>63</v>
      </c>
      <c r="C46" t="s">
        <v>13</v>
      </c>
      <c r="D46" t="s">
        <v>31</v>
      </c>
      <c r="E46" t="s">
        <v>32</v>
      </c>
      <c r="F46">
        <v>4</v>
      </c>
      <c r="G46">
        <v>3</v>
      </c>
      <c r="H46">
        <v>12</v>
      </c>
    </row>
    <row r="47" spans="1:8" x14ac:dyDescent="0.2">
      <c r="A47">
        <v>1046</v>
      </c>
      <c r="B47" t="s">
        <v>64</v>
      </c>
      <c r="C47" t="s">
        <v>13</v>
      </c>
      <c r="D47" t="s">
        <v>47</v>
      </c>
      <c r="E47" t="s">
        <v>32</v>
      </c>
      <c r="F47">
        <v>4</v>
      </c>
      <c r="G47">
        <v>2.4</v>
      </c>
      <c r="H47">
        <v>9.6</v>
      </c>
    </row>
    <row r="48" spans="1:8" x14ac:dyDescent="0.2">
      <c r="A48">
        <v>1047</v>
      </c>
      <c r="B48" t="s">
        <v>65</v>
      </c>
      <c r="C48" t="s">
        <v>24</v>
      </c>
      <c r="D48" t="s">
        <v>29</v>
      </c>
      <c r="E48" t="s">
        <v>22</v>
      </c>
      <c r="F48">
        <v>3</v>
      </c>
      <c r="G48">
        <v>4.2</v>
      </c>
      <c r="H48">
        <v>12.6</v>
      </c>
    </row>
    <row r="49" spans="1:8" x14ac:dyDescent="0.2">
      <c r="A49">
        <v>1048</v>
      </c>
      <c r="B49" t="s">
        <v>48</v>
      </c>
      <c r="C49" t="s">
        <v>9</v>
      </c>
      <c r="D49" t="s">
        <v>29</v>
      </c>
      <c r="E49" t="s">
        <v>22</v>
      </c>
      <c r="F49">
        <v>4</v>
      </c>
      <c r="G49">
        <v>4.2</v>
      </c>
      <c r="H49">
        <v>16.8</v>
      </c>
    </row>
    <row r="50" spans="1:8" x14ac:dyDescent="0.2">
      <c r="A50">
        <v>1049</v>
      </c>
      <c r="B50" t="s">
        <v>66</v>
      </c>
      <c r="C50" t="s">
        <v>28</v>
      </c>
      <c r="D50" t="s">
        <v>25</v>
      </c>
      <c r="E50" t="s">
        <v>15</v>
      </c>
      <c r="F50">
        <v>6</v>
      </c>
      <c r="G50">
        <v>2.7</v>
      </c>
      <c r="H50">
        <v>16.2</v>
      </c>
    </row>
    <row r="51" spans="1:8" x14ac:dyDescent="0.2">
      <c r="A51">
        <v>1050</v>
      </c>
      <c r="B51" t="s">
        <v>67</v>
      </c>
      <c r="C51" t="s">
        <v>13</v>
      </c>
      <c r="D51" t="s">
        <v>17</v>
      </c>
      <c r="E51" t="s">
        <v>18</v>
      </c>
      <c r="F51">
        <v>1</v>
      </c>
      <c r="G51">
        <v>2.5</v>
      </c>
      <c r="H51">
        <v>2.5</v>
      </c>
    </row>
    <row r="52" spans="1:8" x14ac:dyDescent="0.2">
      <c r="A52">
        <v>1051</v>
      </c>
      <c r="B52" t="s">
        <v>68</v>
      </c>
      <c r="C52" t="s">
        <v>24</v>
      </c>
      <c r="D52" t="s">
        <v>17</v>
      </c>
      <c r="E52" t="s">
        <v>18</v>
      </c>
      <c r="F52">
        <v>5</v>
      </c>
      <c r="G52">
        <v>2.5</v>
      </c>
      <c r="H52">
        <v>12.5</v>
      </c>
    </row>
    <row r="53" spans="1:8" x14ac:dyDescent="0.2">
      <c r="A53">
        <v>1052</v>
      </c>
      <c r="B53" t="s">
        <v>69</v>
      </c>
      <c r="C53" t="s">
        <v>9</v>
      </c>
      <c r="D53" t="s">
        <v>14</v>
      </c>
      <c r="E53" t="s">
        <v>15</v>
      </c>
      <c r="F53">
        <v>6</v>
      </c>
      <c r="G53">
        <v>2</v>
      </c>
      <c r="H53">
        <v>12</v>
      </c>
    </row>
    <row r="54" spans="1:8" x14ac:dyDescent="0.2">
      <c r="A54">
        <v>1053</v>
      </c>
      <c r="B54" t="s">
        <v>70</v>
      </c>
      <c r="C54" t="s">
        <v>13</v>
      </c>
      <c r="D54" t="s">
        <v>17</v>
      </c>
      <c r="E54" t="s">
        <v>18</v>
      </c>
      <c r="F54">
        <v>3</v>
      </c>
      <c r="G54">
        <v>2.5</v>
      </c>
      <c r="H54">
        <v>7.5</v>
      </c>
    </row>
    <row r="55" spans="1:8" x14ac:dyDescent="0.2">
      <c r="A55">
        <v>1054</v>
      </c>
      <c r="B55" t="s">
        <v>71</v>
      </c>
      <c r="C55" t="s">
        <v>24</v>
      </c>
      <c r="D55" t="s">
        <v>34</v>
      </c>
      <c r="E55" t="s">
        <v>11</v>
      </c>
      <c r="F55">
        <v>1</v>
      </c>
      <c r="G55">
        <v>2.1</v>
      </c>
      <c r="H55">
        <v>2.1</v>
      </c>
    </row>
    <row r="56" spans="1:8" x14ac:dyDescent="0.2">
      <c r="A56">
        <v>1055</v>
      </c>
      <c r="B56" t="s">
        <v>72</v>
      </c>
      <c r="C56" t="s">
        <v>9</v>
      </c>
      <c r="D56" t="s">
        <v>10</v>
      </c>
      <c r="E56" t="s">
        <v>11</v>
      </c>
      <c r="F56">
        <v>6</v>
      </c>
      <c r="G56">
        <v>3.2</v>
      </c>
      <c r="H56">
        <v>19.2</v>
      </c>
    </row>
    <row r="57" spans="1:8" x14ac:dyDescent="0.2">
      <c r="A57">
        <v>1056</v>
      </c>
      <c r="B57" t="s">
        <v>35</v>
      </c>
      <c r="C57" t="s">
        <v>24</v>
      </c>
      <c r="D57" t="s">
        <v>43</v>
      </c>
      <c r="E57" t="s">
        <v>18</v>
      </c>
      <c r="F57">
        <v>6</v>
      </c>
      <c r="G57">
        <v>3.8</v>
      </c>
      <c r="H57">
        <v>22.8</v>
      </c>
    </row>
    <row r="58" spans="1:8" x14ac:dyDescent="0.2">
      <c r="A58">
        <v>1057</v>
      </c>
      <c r="B58" t="s">
        <v>73</v>
      </c>
      <c r="C58" t="s">
        <v>24</v>
      </c>
      <c r="D58" t="s">
        <v>14</v>
      </c>
      <c r="E58" t="s">
        <v>15</v>
      </c>
      <c r="F58">
        <v>1</v>
      </c>
      <c r="G58">
        <v>2</v>
      </c>
      <c r="H58">
        <v>2</v>
      </c>
    </row>
    <row r="59" spans="1:8" x14ac:dyDescent="0.2">
      <c r="A59">
        <v>1058</v>
      </c>
      <c r="B59" t="s">
        <v>74</v>
      </c>
      <c r="C59" t="s">
        <v>24</v>
      </c>
      <c r="D59" t="s">
        <v>43</v>
      </c>
      <c r="E59" t="s">
        <v>18</v>
      </c>
      <c r="F59">
        <v>6</v>
      </c>
      <c r="G59">
        <v>3.8</v>
      </c>
      <c r="H59">
        <v>22.8</v>
      </c>
    </row>
    <row r="60" spans="1:8" x14ac:dyDescent="0.2">
      <c r="A60">
        <v>1059</v>
      </c>
      <c r="B60" t="s">
        <v>75</v>
      </c>
      <c r="C60" t="s">
        <v>24</v>
      </c>
      <c r="D60" t="s">
        <v>14</v>
      </c>
      <c r="E60" t="s">
        <v>15</v>
      </c>
      <c r="F60">
        <v>1</v>
      </c>
      <c r="G60">
        <v>2</v>
      </c>
      <c r="H60">
        <v>2</v>
      </c>
    </row>
    <row r="61" spans="1:8" x14ac:dyDescent="0.2">
      <c r="A61">
        <v>1060</v>
      </c>
      <c r="B61" t="s">
        <v>76</v>
      </c>
      <c r="C61" t="s">
        <v>24</v>
      </c>
      <c r="D61" t="s">
        <v>43</v>
      </c>
      <c r="E61" t="s">
        <v>18</v>
      </c>
      <c r="F61">
        <v>2</v>
      </c>
      <c r="G61">
        <v>3.8</v>
      </c>
      <c r="H61">
        <v>7.6</v>
      </c>
    </row>
    <row r="62" spans="1:8" x14ac:dyDescent="0.2">
      <c r="A62">
        <v>1061</v>
      </c>
      <c r="B62" t="s">
        <v>77</v>
      </c>
      <c r="C62" t="s">
        <v>9</v>
      </c>
      <c r="D62" t="s">
        <v>43</v>
      </c>
      <c r="E62" t="s">
        <v>18</v>
      </c>
      <c r="F62">
        <v>4</v>
      </c>
      <c r="G62">
        <v>3.8</v>
      </c>
      <c r="H62">
        <v>15.2</v>
      </c>
    </row>
    <row r="63" spans="1:8" x14ac:dyDescent="0.2">
      <c r="A63">
        <v>1062</v>
      </c>
      <c r="B63" t="s">
        <v>78</v>
      </c>
      <c r="C63" t="s">
        <v>9</v>
      </c>
      <c r="D63" t="s">
        <v>25</v>
      </c>
      <c r="E63" t="s">
        <v>15</v>
      </c>
      <c r="F63">
        <v>5</v>
      </c>
      <c r="G63">
        <v>2.7</v>
      </c>
      <c r="H63">
        <v>13.5</v>
      </c>
    </row>
    <row r="64" spans="1:8" x14ac:dyDescent="0.2">
      <c r="A64">
        <v>1063</v>
      </c>
      <c r="B64" t="s">
        <v>79</v>
      </c>
      <c r="C64" t="s">
        <v>13</v>
      </c>
      <c r="D64" t="s">
        <v>43</v>
      </c>
      <c r="E64" t="s">
        <v>18</v>
      </c>
      <c r="F64">
        <v>1</v>
      </c>
      <c r="G64">
        <v>3.8</v>
      </c>
      <c r="H64">
        <v>3.8</v>
      </c>
    </row>
    <row r="65" spans="1:8" x14ac:dyDescent="0.2">
      <c r="A65">
        <v>1064</v>
      </c>
      <c r="B65" t="s">
        <v>40</v>
      </c>
      <c r="C65" t="s">
        <v>24</v>
      </c>
      <c r="D65" t="s">
        <v>31</v>
      </c>
      <c r="E65" t="s">
        <v>32</v>
      </c>
      <c r="F65">
        <v>5</v>
      </c>
      <c r="G65">
        <v>3</v>
      </c>
      <c r="H65">
        <v>15</v>
      </c>
    </row>
    <row r="66" spans="1:8" x14ac:dyDescent="0.2">
      <c r="A66">
        <v>1065</v>
      </c>
      <c r="B66" t="s">
        <v>80</v>
      </c>
      <c r="C66" t="s">
        <v>24</v>
      </c>
      <c r="D66" t="s">
        <v>43</v>
      </c>
      <c r="E66" t="s">
        <v>18</v>
      </c>
      <c r="F66">
        <v>2</v>
      </c>
      <c r="G66">
        <v>3.8</v>
      </c>
      <c r="H66">
        <v>7.6</v>
      </c>
    </row>
    <row r="67" spans="1:8" x14ac:dyDescent="0.2">
      <c r="A67">
        <v>1066</v>
      </c>
      <c r="B67" t="s">
        <v>81</v>
      </c>
      <c r="C67" t="s">
        <v>28</v>
      </c>
      <c r="D67" t="s">
        <v>29</v>
      </c>
      <c r="E67" t="s">
        <v>22</v>
      </c>
      <c r="F67">
        <v>6</v>
      </c>
      <c r="G67">
        <v>4.2</v>
      </c>
      <c r="H67">
        <v>25.2</v>
      </c>
    </row>
    <row r="68" spans="1:8" x14ac:dyDescent="0.2">
      <c r="A68">
        <v>1067</v>
      </c>
      <c r="B68" t="s">
        <v>16</v>
      </c>
      <c r="C68" t="s">
        <v>9</v>
      </c>
      <c r="D68" t="s">
        <v>14</v>
      </c>
      <c r="E68" t="s">
        <v>15</v>
      </c>
      <c r="F68">
        <v>6</v>
      </c>
      <c r="G68">
        <v>2</v>
      </c>
      <c r="H68">
        <v>12</v>
      </c>
    </row>
    <row r="69" spans="1:8" x14ac:dyDescent="0.2">
      <c r="A69">
        <v>1068</v>
      </c>
      <c r="B69" t="s">
        <v>82</v>
      </c>
      <c r="C69" t="s">
        <v>24</v>
      </c>
      <c r="D69" t="s">
        <v>47</v>
      </c>
      <c r="E69" t="s">
        <v>32</v>
      </c>
      <c r="F69">
        <v>2</v>
      </c>
      <c r="G69">
        <v>2.4</v>
      </c>
      <c r="H69">
        <v>4.8</v>
      </c>
    </row>
    <row r="70" spans="1:8" x14ac:dyDescent="0.2">
      <c r="A70">
        <v>1069</v>
      </c>
      <c r="B70" t="s">
        <v>36</v>
      </c>
      <c r="C70" t="s">
        <v>9</v>
      </c>
      <c r="D70" t="s">
        <v>17</v>
      </c>
      <c r="E70" t="s">
        <v>18</v>
      </c>
      <c r="F70">
        <v>4</v>
      </c>
      <c r="G70">
        <v>2.5</v>
      </c>
      <c r="H70">
        <v>10</v>
      </c>
    </row>
    <row r="71" spans="1:8" x14ac:dyDescent="0.2">
      <c r="A71">
        <v>1070</v>
      </c>
      <c r="B71" t="s">
        <v>26</v>
      </c>
      <c r="C71" t="s">
        <v>13</v>
      </c>
      <c r="D71" t="s">
        <v>14</v>
      </c>
      <c r="E71" t="s">
        <v>15</v>
      </c>
      <c r="F71">
        <v>2</v>
      </c>
      <c r="G71">
        <v>2</v>
      </c>
      <c r="H71">
        <v>4</v>
      </c>
    </row>
    <row r="72" spans="1:8" x14ac:dyDescent="0.2">
      <c r="A72">
        <v>1071</v>
      </c>
      <c r="B72" t="s">
        <v>83</v>
      </c>
      <c r="C72" t="s">
        <v>24</v>
      </c>
      <c r="D72" t="s">
        <v>29</v>
      </c>
      <c r="E72" t="s">
        <v>22</v>
      </c>
      <c r="F72">
        <v>2</v>
      </c>
      <c r="G72">
        <v>4.2</v>
      </c>
      <c r="H72">
        <v>8.4</v>
      </c>
    </row>
    <row r="73" spans="1:8" x14ac:dyDescent="0.2">
      <c r="A73">
        <v>1072</v>
      </c>
      <c r="B73" t="s">
        <v>84</v>
      </c>
      <c r="C73" t="s">
        <v>24</v>
      </c>
      <c r="D73" t="s">
        <v>29</v>
      </c>
      <c r="E73" t="s">
        <v>22</v>
      </c>
      <c r="F73">
        <v>2</v>
      </c>
      <c r="G73">
        <v>4.2</v>
      </c>
      <c r="H73">
        <v>8.4</v>
      </c>
    </row>
    <row r="74" spans="1:8" x14ac:dyDescent="0.2">
      <c r="A74">
        <v>1073</v>
      </c>
      <c r="B74" t="s">
        <v>27</v>
      </c>
      <c r="C74" t="s">
        <v>9</v>
      </c>
      <c r="D74" t="s">
        <v>10</v>
      </c>
      <c r="E74" t="s">
        <v>11</v>
      </c>
      <c r="F74">
        <v>4</v>
      </c>
      <c r="G74">
        <v>3.2</v>
      </c>
      <c r="H74">
        <v>12.8</v>
      </c>
    </row>
    <row r="75" spans="1:8" x14ac:dyDescent="0.2">
      <c r="A75">
        <v>1074</v>
      </c>
      <c r="B75" t="s">
        <v>55</v>
      </c>
      <c r="C75" t="s">
        <v>9</v>
      </c>
      <c r="D75" t="s">
        <v>14</v>
      </c>
      <c r="E75" t="s">
        <v>15</v>
      </c>
      <c r="F75">
        <v>3</v>
      </c>
      <c r="G75">
        <v>2</v>
      </c>
      <c r="H75">
        <v>6</v>
      </c>
    </row>
    <row r="76" spans="1:8" x14ac:dyDescent="0.2">
      <c r="A76">
        <v>1075</v>
      </c>
      <c r="B76" t="s">
        <v>85</v>
      </c>
      <c r="C76" t="s">
        <v>28</v>
      </c>
      <c r="D76" t="s">
        <v>25</v>
      </c>
      <c r="E76" t="s">
        <v>15</v>
      </c>
      <c r="F76">
        <v>6</v>
      </c>
      <c r="G76">
        <v>2.7</v>
      </c>
      <c r="H76">
        <v>16.2</v>
      </c>
    </row>
    <row r="77" spans="1:8" x14ac:dyDescent="0.2">
      <c r="A77">
        <v>1076</v>
      </c>
      <c r="B77" t="s">
        <v>86</v>
      </c>
      <c r="C77" t="s">
        <v>24</v>
      </c>
      <c r="D77" t="s">
        <v>25</v>
      </c>
      <c r="E77" t="s">
        <v>15</v>
      </c>
      <c r="F77">
        <v>6</v>
      </c>
      <c r="G77">
        <v>2.7</v>
      </c>
      <c r="H77">
        <v>16.2</v>
      </c>
    </row>
    <row r="78" spans="1:8" x14ac:dyDescent="0.2">
      <c r="A78">
        <v>1077</v>
      </c>
      <c r="B78" t="s">
        <v>80</v>
      </c>
      <c r="C78" t="s">
        <v>28</v>
      </c>
      <c r="D78" t="s">
        <v>31</v>
      </c>
      <c r="E78" t="s">
        <v>32</v>
      </c>
      <c r="F78">
        <v>5</v>
      </c>
      <c r="G78">
        <v>3</v>
      </c>
      <c r="H78">
        <v>15</v>
      </c>
    </row>
    <row r="79" spans="1:8" x14ac:dyDescent="0.2">
      <c r="A79">
        <v>1078</v>
      </c>
      <c r="B79" t="s">
        <v>84</v>
      </c>
      <c r="C79" t="s">
        <v>28</v>
      </c>
      <c r="D79" t="s">
        <v>31</v>
      </c>
      <c r="E79" t="s">
        <v>32</v>
      </c>
      <c r="F79">
        <v>2</v>
      </c>
      <c r="G79">
        <v>3</v>
      </c>
      <c r="H79">
        <v>6</v>
      </c>
    </row>
    <row r="80" spans="1:8" x14ac:dyDescent="0.2">
      <c r="A80">
        <v>1079</v>
      </c>
      <c r="B80" t="s">
        <v>87</v>
      </c>
      <c r="C80" t="s">
        <v>13</v>
      </c>
      <c r="D80" t="s">
        <v>31</v>
      </c>
      <c r="E80" t="s">
        <v>32</v>
      </c>
      <c r="F80">
        <v>2</v>
      </c>
      <c r="G80">
        <v>3</v>
      </c>
      <c r="H80">
        <v>6</v>
      </c>
    </row>
    <row r="81" spans="1:8" x14ac:dyDescent="0.2">
      <c r="A81">
        <v>1080</v>
      </c>
      <c r="B81" t="s">
        <v>88</v>
      </c>
      <c r="C81" t="s">
        <v>24</v>
      </c>
      <c r="D81" t="s">
        <v>10</v>
      </c>
      <c r="E81" t="s">
        <v>11</v>
      </c>
      <c r="F81">
        <v>1</v>
      </c>
      <c r="G81">
        <v>3.2</v>
      </c>
      <c r="H81">
        <v>3.2</v>
      </c>
    </row>
    <row r="82" spans="1:8" x14ac:dyDescent="0.2">
      <c r="A82">
        <v>1081</v>
      </c>
      <c r="B82" t="s">
        <v>89</v>
      </c>
      <c r="C82" t="s">
        <v>28</v>
      </c>
      <c r="D82" t="s">
        <v>31</v>
      </c>
      <c r="E82" t="s">
        <v>32</v>
      </c>
      <c r="F82">
        <v>4</v>
      </c>
      <c r="G82">
        <v>3</v>
      </c>
      <c r="H82">
        <v>12</v>
      </c>
    </row>
    <row r="83" spans="1:8" x14ac:dyDescent="0.2">
      <c r="A83">
        <v>1082</v>
      </c>
      <c r="B83" t="s">
        <v>90</v>
      </c>
      <c r="C83" t="s">
        <v>24</v>
      </c>
      <c r="D83" t="s">
        <v>14</v>
      </c>
      <c r="E83" t="s">
        <v>15</v>
      </c>
      <c r="F83">
        <v>6</v>
      </c>
      <c r="G83">
        <v>2</v>
      </c>
      <c r="H83">
        <v>12</v>
      </c>
    </row>
    <row r="84" spans="1:8" x14ac:dyDescent="0.2">
      <c r="A84">
        <v>1083</v>
      </c>
      <c r="B84" t="s">
        <v>91</v>
      </c>
      <c r="C84" t="s">
        <v>24</v>
      </c>
      <c r="D84" t="s">
        <v>14</v>
      </c>
      <c r="E84" t="s">
        <v>15</v>
      </c>
      <c r="F84">
        <v>6</v>
      </c>
      <c r="G84">
        <v>2</v>
      </c>
      <c r="H84">
        <v>12</v>
      </c>
    </row>
    <row r="85" spans="1:8" x14ac:dyDescent="0.2">
      <c r="A85">
        <v>1084</v>
      </c>
      <c r="B85" t="s">
        <v>92</v>
      </c>
      <c r="C85" t="s">
        <v>9</v>
      </c>
      <c r="D85" t="s">
        <v>14</v>
      </c>
      <c r="E85" t="s">
        <v>15</v>
      </c>
      <c r="F85">
        <v>2</v>
      </c>
      <c r="G85">
        <v>2</v>
      </c>
      <c r="H85">
        <v>4</v>
      </c>
    </row>
    <row r="86" spans="1:8" x14ac:dyDescent="0.2">
      <c r="A86">
        <v>1085</v>
      </c>
      <c r="B86" t="s">
        <v>93</v>
      </c>
      <c r="C86" t="s">
        <v>28</v>
      </c>
      <c r="D86" t="s">
        <v>10</v>
      </c>
      <c r="E86" t="s">
        <v>11</v>
      </c>
      <c r="F86">
        <v>6</v>
      </c>
      <c r="G86">
        <v>3.2</v>
      </c>
      <c r="H86">
        <v>19.2</v>
      </c>
    </row>
    <row r="87" spans="1:8" x14ac:dyDescent="0.2">
      <c r="A87">
        <v>1086</v>
      </c>
      <c r="B87" t="s">
        <v>71</v>
      </c>
      <c r="C87" t="s">
        <v>13</v>
      </c>
      <c r="D87" t="s">
        <v>10</v>
      </c>
      <c r="E87" t="s">
        <v>11</v>
      </c>
      <c r="F87">
        <v>5</v>
      </c>
      <c r="G87">
        <v>3.2</v>
      </c>
      <c r="H87">
        <v>16</v>
      </c>
    </row>
    <row r="88" spans="1:8" x14ac:dyDescent="0.2">
      <c r="A88">
        <v>1087</v>
      </c>
      <c r="B88" t="s">
        <v>94</v>
      </c>
      <c r="C88" t="s">
        <v>9</v>
      </c>
      <c r="D88" t="s">
        <v>34</v>
      </c>
      <c r="E88" t="s">
        <v>11</v>
      </c>
      <c r="F88">
        <v>3</v>
      </c>
      <c r="G88">
        <v>2.1</v>
      </c>
      <c r="H88">
        <v>6.3</v>
      </c>
    </row>
    <row r="89" spans="1:8" x14ac:dyDescent="0.2">
      <c r="A89">
        <v>1088</v>
      </c>
      <c r="B89" t="s">
        <v>26</v>
      </c>
      <c r="C89" t="s">
        <v>13</v>
      </c>
      <c r="D89" t="s">
        <v>47</v>
      </c>
      <c r="E89" t="s">
        <v>32</v>
      </c>
      <c r="F89">
        <v>6</v>
      </c>
      <c r="G89">
        <v>2.4</v>
      </c>
      <c r="H89">
        <v>14.4</v>
      </c>
    </row>
    <row r="90" spans="1:8" x14ac:dyDescent="0.2">
      <c r="A90">
        <v>1089</v>
      </c>
      <c r="B90" t="s">
        <v>92</v>
      </c>
      <c r="C90" t="s">
        <v>28</v>
      </c>
      <c r="D90" t="s">
        <v>47</v>
      </c>
      <c r="E90" t="s">
        <v>32</v>
      </c>
      <c r="F90">
        <v>2</v>
      </c>
      <c r="G90">
        <v>2.4</v>
      </c>
      <c r="H90">
        <v>4.8</v>
      </c>
    </row>
    <row r="91" spans="1:8" x14ac:dyDescent="0.2">
      <c r="A91">
        <v>1090</v>
      </c>
      <c r="B91" t="s">
        <v>95</v>
      </c>
      <c r="C91" t="s">
        <v>28</v>
      </c>
      <c r="D91" t="s">
        <v>29</v>
      </c>
      <c r="E91" t="s">
        <v>22</v>
      </c>
      <c r="F91">
        <v>3</v>
      </c>
      <c r="G91">
        <v>4.2</v>
      </c>
      <c r="H91">
        <v>12.6</v>
      </c>
    </row>
    <row r="92" spans="1:8" x14ac:dyDescent="0.2">
      <c r="A92">
        <v>1091</v>
      </c>
      <c r="B92" t="s">
        <v>96</v>
      </c>
      <c r="C92" t="s">
        <v>13</v>
      </c>
      <c r="D92" t="s">
        <v>43</v>
      </c>
      <c r="E92" t="s">
        <v>18</v>
      </c>
      <c r="F92">
        <v>5</v>
      </c>
      <c r="G92">
        <v>3.8</v>
      </c>
      <c r="H92">
        <v>19</v>
      </c>
    </row>
    <row r="93" spans="1:8" x14ac:dyDescent="0.2">
      <c r="A93">
        <v>1092</v>
      </c>
      <c r="B93" t="s">
        <v>97</v>
      </c>
      <c r="C93" t="s">
        <v>9</v>
      </c>
      <c r="D93" t="s">
        <v>14</v>
      </c>
      <c r="E93" t="s">
        <v>15</v>
      </c>
      <c r="F93">
        <v>4</v>
      </c>
      <c r="G93">
        <v>2</v>
      </c>
      <c r="H93">
        <v>8</v>
      </c>
    </row>
    <row r="94" spans="1:8" x14ac:dyDescent="0.2">
      <c r="A94">
        <v>1093</v>
      </c>
      <c r="B94" t="s">
        <v>78</v>
      </c>
      <c r="C94" t="s">
        <v>9</v>
      </c>
      <c r="D94" t="s">
        <v>17</v>
      </c>
      <c r="E94" t="s">
        <v>18</v>
      </c>
      <c r="F94">
        <v>3</v>
      </c>
      <c r="G94">
        <v>2.5</v>
      </c>
      <c r="H94">
        <v>7.5</v>
      </c>
    </row>
    <row r="95" spans="1:8" x14ac:dyDescent="0.2">
      <c r="A95">
        <v>1094</v>
      </c>
      <c r="B95" t="s">
        <v>98</v>
      </c>
      <c r="C95" t="s">
        <v>9</v>
      </c>
      <c r="D95" t="s">
        <v>25</v>
      </c>
      <c r="E95" t="s">
        <v>15</v>
      </c>
      <c r="F95">
        <v>5</v>
      </c>
      <c r="G95">
        <v>2.7</v>
      </c>
      <c r="H95">
        <v>13.5</v>
      </c>
    </row>
    <row r="96" spans="1:8" x14ac:dyDescent="0.2">
      <c r="A96">
        <v>1095</v>
      </c>
      <c r="B96" t="s">
        <v>99</v>
      </c>
      <c r="C96" t="s">
        <v>13</v>
      </c>
      <c r="D96" t="s">
        <v>31</v>
      </c>
      <c r="E96" t="s">
        <v>32</v>
      </c>
      <c r="F96">
        <v>6</v>
      </c>
      <c r="G96">
        <v>3</v>
      </c>
      <c r="H96">
        <v>18</v>
      </c>
    </row>
    <row r="97" spans="1:8" x14ac:dyDescent="0.2">
      <c r="A97">
        <v>1096</v>
      </c>
      <c r="B97" t="s">
        <v>100</v>
      </c>
      <c r="C97" t="s">
        <v>9</v>
      </c>
      <c r="D97" t="s">
        <v>47</v>
      </c>
      <c r="E97" t="s">
        <v>32</v>
      </c>
      <c r="F97">
        <v>4</v>
      </c>
      <c r="G97">
        <v>2.4</v>
      </c>
      <c r="H97">
        <v>9.6</v>
      </c>
    </row>
    <row r="98" spans="1:8" x14ac:dyDescent="0.2">
      <c r="A98">
        <v>1097</v>
      </c>
      <c r="B98" t="s">
        <v>101</v>
      </c>
      <c r="C98" t="s">
        <v>13</v>
      </c>
      <c r="D98" t="s">
        <v>43</v>
      </c>
      <c r="E98" t="s">
        <v>18</v>
      </c>
      <c r="F98">
        <v>1</v>
      </c>
      <c r="G98">
        <v>3.8</v>
      </c>
      <c r="H98">
        <v>3.8</v>
      </c>
    </row>
    <row r="99" spans="1:8" x14ac:dyDescent="0.2">
      <c r="A99">
        <v>1098</v>
      </c>
      <c r="B99" t="s">
        <v>93</v>
      </c>
      <c r="C99" t="s">
        <v>28</v>
      </c>
      <c r="D99" t="s">
        <v>47</v>
      </c>
      <c r="E99" t="s">
        <v>32</v>
      </c>
      <c r="F99">
        <v>5</v>
      </c>
      <c r="G99">
        <v>2.4</v>
      </c>
      <c r="H99">
        <v>12</v>
      </c>
    </row>
    <row r="100" spans="1:8" x14ac:dyDescent="0.2">
      <c r="A100">
        <v>1099</v>
      </c>
      <c r="B100" t="s">
        <v>91</v>
      </c>
      <c r="C100" t="s">
        <v>28</v>
      </c>
      <c r="D100" t="s">
        <v>17</v>
      </c>
      <c r="E100" t="s">
        <v>18</v>
      </c>
      <c r="F100">
        <v>4</v>
      </c>
      <c r="G100">
        <v>2.5</v>
      </c>
      <c r="H100">
        <v>10</v>
      </c>
    </row>
    <row r="101" spans="1:8" x14ac:dyDescent="0.2">
      <c r="A101">
        <v>1100</v>
      </c>
      <c r="B101" t="s">
        <v>102</v>
      </c>
      <c r="C101" t="s">
        <v>24</v>
      </c>
      <c r="D101" t="s">
        <v>29</v>
      </c>
      <c r="E101" t="s">
        <v>22</v>
      </c>
      <c r="F101">
        <v>2</v>
      </c>
      <c r="G101">
        <v>4.2</v>
      </c>
      <c r="H101">
        <v>8.4</v>
      </c>
    </row>
    <row r="102" spans="1:8" x14ac:dyDescent="0.2">
      <c r="A102">
        <v>1101</v>
      </c>
      <c r="B102" t="s">
        <v>92</v>
      </c>
      <c r="C102" t="s">
        <v>9</v>
      </c>
      <c r="D102" t="s">
        <v>25</v>
      </c>
      <c r="E102" t="s">
        <v>15</v>
      </c>
      <c r="F102">
        <v>2</v>
      </c>
      <c r="G102">
        <v>2.7</v>
      </c>
      <c r="H102">
        <v>5.4</v>
      </c>
    </row>
    <row r="103" spans="1:8" x14ac:dyDescent="0.2">
      <c r="A103">
        <v>1102</v>
      </c>
      <c r="B103" t="s">
        <v>103</v>
      </c>
      <c r="C103" t="s">
        <v>24</v>
      </c>
      <c r="D103" t="s">
        <v>29</v>
      </c>
      <c r="E103" t="s">
        <v>22</v>
      </c>
      <c r="F103">
        <v>2</v>
      </c>
      <c r="G103">
        <v>4.2</v>
      </c>
      <c r="H103">
        <v>8.4</v>
      </c>
    </row>
    <row r="104" spans="1:8" x14ac:dyDescent="0.2">
      <c r="A104">
        <v>1103</v>
      </c>
      <c r="B104" t="s">
        <v>104</v>
      </c>
      <c r="C104" t="s">
        <v>28</v>
      </c>
      <c r="D104" t="s">
        <v>25</v>
      </c>
      <c r="E104" t="s">
        <v>15</v>
      </c>
      <c r="F104">
        <v>5</v>
      </c>
      <c r="G104">
        <v>2.7</v>
      </c>
      <c r="H104">
        <v>13.5</v>
      </c>
    </row>
    <row r="105" spans="1:8" x14ac:dyDescent="0.2">
      <c r="A105">
        <v>1104</v>
      </c>
      <c r="B105" t="s">
        <v>105</v>
      </c>
      <c r="C105" t="s">
        <v>28</v>
      </c>
      <c r="D105" t="s">
        <v>31</v>
      </c>
      <c r="E105" t="s">
        <v>32</v>
      </c>
      <c r="F105">
        <v>4</v>
      </c>
      <c r="G105">
        <v>3</v>
      </c>
      <c r="H105">
        <v>12</v>
      </c>
    </row>
    <row r="106" spans="1:8" x14ac:dyDescent="0.2">
      <c r="A106">
        <v>1105</v>
      </c>
      <c r="B106" t="s">
        <v>106</v>
      </c>
      <c r="C106" t="s">
        <v>24</v>
      </c>
      <c r="D106" t="s">
        <v>10</v>
      </c>
      <c r="E106" t="s">
        <v>11</v>
      </c>
      <c r="F106">
        <v>6</v>
      </c>
      <c r="G106">
        <v>3.2</v>
      </c>
      <c r="H106">
        <v>19.2</v>
      </c>
    </row>
    <row r="107" spans="1:8" x14ac:dyDescent="0.2">
      <c r="A107">
        <v>1106</v>
      </c>
      <c r="B107" t="s">
        <v>107</v>
      </c>
      <c r="C107" t="s">
        <v>13</v>
      </c>
      <c r="D107" t="s">
        <v>47</v>
      </c>
      <c r="E107" t="s">
        <v>32</v>
      </c>
      <c r="F107">
        <v>3</v>
      </c>
      <c r="G107">
        <v>2.4</v>
      </c>
      <c r="H107">
        <v>7.2</v>
      </c>
    </row>
    <row r="108" spans="1:8" x14ac:dyDescent="0.2">
      <c r="A108">
        <v>1107</v>
      </c>
      <c r="B108" t="s">
        <v>70</v>
      </c>
      <c r="C108" t="s">
        <v>9</v>
      </c>
      <c r="D108" t="s">
        <v>10</v>
      </c>
      <c r="E108" t="s">
        <v>11</v>
      </c>
      <c r="F108">
        <v>1</v>
      </c>
      <c r="G108">
        <v>3.2</v>
      </c>
      <c r="H108">
        <v>3.2</v>
      </c>
    </row>
    <row r="109" spans="1:8" x14ac:dyDescent="0.2">
      <c r="A109">
        <v>1108</v>
      </c>
      <c r="B109" t="s">
        <v>108</v>
      </c>
      <c r="C109" t="s">
        <v>13</v>
      </c>
      <c r="D109" t="s">
        <v>10</v>
      </c>
      <c r="E109" t="s">
        <v>11</v>
      </c>
      <c r="F109">
        <v>4</v>
      </c>
      <c r="G109">
        <v>3.2</v>
      </c>
      <c r="H109">
        <v>12.8</v>
      </c>
    </row>
    <row r="110" spans="1:8" x14ac:dyDescent="0.2">
      <c r="A110">
        <v>1109</v>
      </c>
      <c r="B110" t="s">
        <v>37</v>
      </c>
      <c r="C110" t="s">
        <v>9</v>
      </c>
      <c r="D110" t="s">
        <v>21</v>
      </c>
      <c r="E110" t="s">
        <v>22</v>
      </c>
      <c r="F110">
        <v>4</v>
      </c>
      <c r="G110">
        <v>6.5</v>
      </c>
      <c r="H110">
        <v>26</v>
      </c>
    </row>
    <row r="111" spans="1:8" x14ac:dyDescent="0.2">
      <c r="A111">
        <v>1110</v>
      </c>
      <c r="B111" t="s">
        <v>109</v>
      </c>
      <c r="C111" t="s">
        <v>13</v>
      </c>
      <c r="D111" t="s">
        <v>34</v>
      </c>
      <c r="E111" t="s">
        <v>11</v>
      </c>
      <c r="F111">
        <v>6</v>
      </c>
      <c r="G111">
        <v>2.1</v>
      </c>
      <c r="H111">
        <v>12.6</v>
      </c>
    </row>
    <row r="112" spans="1:8" x14ac:dyDescent="0.2">
      <c r="A112">
        <v>1111</v>
      </c>
      <c r="B112" t="s">
        <v>66</v>
      </c>
      <c r="C112" t="s">
        <v>9</v>
      </c>
      <c r="D112" t="s">
        <v>29</v>
      </c>
      <c r="E112" t="s">
        <v>22</v>
      </c>
      <c r="F112">
        <v>1</v>
      </c>
      <c r="G112">
        <v>4.2</v>
      </c>
      <c r="H112">
        <v>4.2</v>
      </c>
    </row>
    <row r="113" spans="1:8" x14ac:dyDescent="0.2">
      <c r="A113">
        <v>1112</v>
      </c>
      <c r="B113" t="s">
        <v>110</v>
      </c>
      <c r="C113" t="s">
        <v>28</v>
      </c>
      <c r="D113" t="s">
        <v>10</v>
      </c>
      <c r="E113" t="s">
        <v>11</v>
      </c>
      <c r="F113">
        <v>1</v>
      </c>
      <c r="G113">
        <v>3.2</v>
      </c>
      <c r="H113">
        <v>3.2</v>
      </c>
    </row>
    <row r="114" spans="1:8" x14ac:dyDescent="0.2">
      <c r="A114">
        <v>1113</v>
      </c>
      <c r="B114" t="s">
        <v>111</v>
      </c>
      <c r="C114" t="s">
        <v>9</v>
      </c>
      <c r="D114" t="s">
        <v>25</v>
      </c>
      <c r="E114" t="s">
        <v>15</v>
      </c>
      <c r="F114">
        <v>6</v>
      </c>
      <c r="G114">
        <v>2.7</v>
      </c>
      <c r="H114">
        <v>16.2</v>
      </c>
    </row>
    <row r="115" spans="1:8" x14ac:dyDescent="0.2">
      <c r="A115">
        <v>1114</v>
      </c>
      <c r="B115" t="s">
        <v>112</v>
      </c>
      <c r="C115" t="s">
        <v>28</v>
      </c>
      <c r="D115" t="s">
        <v>31</v>
      </c>
      <c r="E115" t="s">
        <v>32</v>
      </c>
      <c r="F115">
        <v>2</v>
      </c>
      <c r="G115">
        <v>3</v>
      </c>
      <c r="H115">
        <v>6</v>
      </c>
    </row>
    <row r="116" spans="1:8" x14ac:dyDescent="0.2">
      <c r="A116">
        <v>1115</v>
      </c>
      <c r="B116" t="s">
        <v>113</v>
      </c>
      <c r="C116" t="s">
        <v>9</v>
      </c>
      <c r="D116" t="s">
        <v>34</v>
      </c>
      <c r="E116" t="s">
        <v>11</v>
      </c>
      <c r="F116">
        <v>1</v>
      </c>
      <c r="G116">
        <v>2.1</v>
      </c>
      <c r="H116">
        <v>2.1</v>
      </c>
    </row>
    <row r="117" spans="1:8" x14ac:dyDescent="0.2">
      <c r="A117">
        <v>1116</v>
      </c>
      <c r="B117" t="s">
        <v>114</v>
      </c>
      <c r="C117" t="s">
        <v>9</v>
      </c>
      <c r="D117" t="s">
        <v>47</v>
      </c>
      <c r="E117" t="s">
        <v>32</v>
      </c>
      <c r="F117">
        <v>6</v>
      </c>
      <c r="G117">
        <v>2.4</v>
      </c>
      <c r="H117">
        <v>14.4</v>
      </c>
    </row>
    <row r="118" spans="1:8" x14ac:dyDescent="0.2">
      <c r="A118">
        <v>1117</v>
      </c>
      <c r="B118" t="s">
        <v>45</v>
      </c>
      <c r="C118" t="s">
        <v>13</v>
      </c>
      <c r="D118" t="s">
        <v>17</v>
      </c>
      <c r="E118" t="s">
        <v>18</v>
      </c>
      <c r="F118">
        <v>1</v>
      </c>
      <c r="G118">
        <v>2.5</v>
      </c>
      <c r="H118">
        <v>2.5</v>
      </c>
    </row>
    <row r="119" spans="1:8" x14ac:dyDescent="0.2">
      <c r="A119">
        <v>1118</v>
      </c>
      <c r="B119" t="s">
        <v>111</v>
      </c>
      <c r="C119" t="s">
        <v>13</v>
      </c>
      <c r="D119" t="s">
        <v>10</v>
      </c>
      <c r="E119" t="s">
        <v>11</v>
      </c>
      <c r="F119">
        <v>4</v>
      </c>
      <c r="G119">
        <v>3.2</v>
      </c>
      <c r="H119">
        <v>12.8</v>
      </c>
    </row>
    <row r="120" spans="1:8" x14ac:dyDescent="0.2">
      <c r="A120">
        <v>1119</v>
      </c>
      <c r="B120" t="s">
        <v>99</v>
      </c>
      <c r="C120" t="s">
        <v>13</v>
      </c>
      <c r="D120" t="s">
        <v>34</v>
      </c>
      <c r="E120" t="s">
        <v>11</v>
      </c>
      <c r="F120">
        <v>3</v>
      </c>
      <c r="G120">
        <v>2.1</v>
      </c>
      <c r="H120">
        <v>6.3</v>
      </c>
    </row>
    <row r="121" spans="1:8" x14ac:dyDescent="0.2">
      <c r="A121">
        <v>1120</v>
      </c>
      <c r="B121" t="s">
        <v>115</v>
      </c>
      <c r="C121" t="s">
        <v>13</v>
      </c>
      <c r="D121" t="s">
        <v>17</v>
      </c>
      <c r="E121" t="s">
        <v>18</v>
      </c>
      <c r="F121">
        <v>4</v>
      </c>
      <c r="G121">
        <v>2.5</v>
      </c>
      <c r="H121">
        <v>10</v>
      </c>
    </row>
    <row r="122" spans="1:8" x14ac:dyDescent="0.2">
      <c r="A122">
        <v>1121</v>
      </c>
      <c r="B122" t="s">
        <v>111</v>
      </c>
      <c r="C122" t="s">
        <v>13</v>
      </c>
      <c r="D122" t="s">
        <v>14</v>
      </c>
      <c r="E122" t="s">
        <v>15</v>
      </c>
      <c r="F122">
        <v>6</v>
      </c>
      <c r="G122">
        <v>2</v>
      </c>
      <c r="H122">
        <v>12</v>
      </c>
    </row>
    <row r="123" spans="1:8" x14ac:dyDescent="0.2">
      <c r="A123">
        <v>1122</v>
      </c>
      <c r="B123" t="s">
        <v>116</v>
      </c>
      <c r="C123" t="s">
        <v>24</v>
      </c>
      <c r="D123" t="s">
        <v>25</v>
      </c>
      <c r="E123" t="s">
        <v>15</v>
      </c>
      <c r="F123">
        <v>3</v>
      </c>
      <c r="G123">
        <v>2.7</v>
      </c>
      <c r="H123">
        <v>8.1</v>
      </c>
    </row>
    <row r="124" spans="1:8" x14ac:dyDescent="0.2">
      <c r="A124">
        <v>1123</v>
      </c>
      <c r="B124" t="s">
        <v>105</v>
      </c>
      <c r="C124" t="s">
        <v>28</v>
      </c>
      <c r="D124" t="s">
        <v>10</v>
      </c>
      <c r="E124" t="s">
        <v>11</v>
      </c>
      <c r="F124">
        <v>4</v>
      </c>
      <c r="G124">
        <v>3.2</v>
      </c>
      <c r="H124">
        <v>12.8</v>
      </c>
    </row>
    <row r="125" spans="1:8" x14ac:dyDescent="0.2">
      <c r="A125">
        <v>1124</v>
      </c>
      <c r="B125" t="s">
        <v>77</v>
      </c>
      <c r="C125" t="s">
        <v>13</v>
      </c>
      <c r="D125" t="s">
        <v>21</v>
      </c>
      <c r="E125" t="s">
        <v>22</v>
      </c>
      <c r="F125">
        <v>5</v>
      </c>
      <c r="G125">
        <v>6.5</v>
      </c>
      <c r="H125">
        <v>32.5</v>
      </c>
    </row>
    <row r="126" spans="1:8" x14ac:dyDescent="0.2">
      <c r="A126">
        <v>1125</v>
      </c>
      <c r="B126" t="s">
        <v>117</v>
      </c>
      <c r="C126" t="s">
        <v>28</v>
      </c>
      <c r="D126" t="s">
        <v>21</v>
      </c>
      <c r="E126" t="s">
        <v>22</v>
      </c>
      <c r="F126">
        <v>2</v>
      </c>
      <c r="G126">
        <v>6.5</v>
      </c>
      <c r="H126">
        <v>13</v>
      </c>
    </row>
    <row r="127" spans="1:8" x14ac:dyDescent="0.2">
      <c r="A127">
        <v>1126</v>
      </c>
      <c r="B127" t="s">
        <v>87</v>
      </c>
      <c r="C127" t="s">
        <v>13</v>
      </c>
      <c r="D127" t="s">
        <v>34</v>
      </c>
      <c r="E127" t="s">
        <v>11</v>
      </c>
      <c r="F127">
        <v>3</v>
      </c>
      <c r="G127">
        <v>2.1</v>
      </c>
      <c r="H127">
        <v>6.3</v>
      </c>
    </row>
    <row r="128" spans="1:8" x14ac:dyDescent="0.2">
      <c r="A128">
        <v>1127</v>
      </c>
      <c r="B128" t="s">
        <v>118</v>
      </c>
      <c r="C128" t="s">
        <v>28</v>
      </c>
      <c r="D128" t="s">
        <v>29</v>
      </c>
      <c r="E128" t="s">
        <v>22</v>
      </c>
      <c r="F128">
        <v>1</v>
      </c>
      <c r="G128">
        <v>4.2</v>
      </c>
      <c r="H128">
        <v>4.2</v>
      </c>
    </row>
    <row r="129" spans="1:8" x14ac:dyDescent="0.2">
      <c r="A129">
        <v>1128</v>
      </c>
      <c r="B129" t="s">
        <v>105</v>
      </c>
      <c r="C129" t="s">
        <v>28</v>
      </c>
      <c r="D129" t="s">
        <v>21</v>
      </c>
      <c r="E129" t="s">
        <v>22</v>
      </c>
      <c r="F129">
        <v>2</v>
      </c>
      <c r="G129">
        <v>6.5</v>
      </c>
      <c r="H129">
        <v>13</v>
      </c>
    </row>
    <row r="130" spans="1:8" x14ac:dyDescent="0.2">
      <c r="A130">
        <v>1129</v>
      </c>
      <c r="B130" t="s">
        <v>119</v>
      </c>
      <c r="C130" t="s">
        <v>24</v>
      </c>
      <c r="D130" t="s">
        <v>21</v>
      </c>
      <c r="E130" t="s">
        <v>22</v>
      </c>
      <c r="F130">
        <v>6</v>
      </c>
      <c r="G130">
        <v>6.5</v>
      </c>
      <c r="H130">
        <v>39</v>
      </c>
    </row>
    <row r="131" spans="1:8" x14ac:dyDescent="0.2">
      <c r="A131">
        <v>1130</v>
      </c>
      <c r="B131" t="s">
        <v>27</v>
      </c>
      <c r="C131" t="s">
        <v>28</v>
      </c>
      <c r="D131" t="s">
        <v>47</v>
      </c>
      <c r="E131" t="s">
        <v>32</v>
      </c>
      <c r="F131">
        <v>2</v>
      </c>
      <c r="G131">
        <v>2.4</v>
      </c>
      <c r="H131">
        <v>4.8</v>
      </c>
    </row>
    <row r="132" spans="1:8" x14ac:dyDescent="0.2">
      <c r="A132">
        <v>1131</v>
      </c>
      <c r="B132" t="s">
        <v>99</v>
      </c>
      <c r="C132" t="s">
        <v>9</v>
      </c>
      <c r="D132" t="s">
        <v>25</v>
      </c>
      <c r="E132" t="s">
        <v>15</v>
      </c>
      <c r="F132">
        <v>1</v>
      </c>
      <c r="G132">
        <v>2.7</v>
      </c>
      <c r="H132">
        <v>2.7</v>
      </c>
    </row>
    <row r="133" spans="1:8" x14ac:dyDescent="0.2">
      <c r="A133">
        <v>1132</v>
      </c>
      <c r="B133" t="s">
        <v>120</v>
      </c>
      <c r="C133" t="s">
        <v>13</v>
      </c>
      <c r="D133" t="s">
        <v>17</v>
      </c>
      <c r="E133" t="s">
        <v>18</v>
      </c>
      <c r="F133">
        <v>6</v>
      </c>
      <c r="G133">
        <v>2.5</v>
      </c>
      <c r="H133">
        <v>15</v>
      </c>
    </row>
    <row r="134" spans="1:8" x14ac:dyDescent="0.2">
      <c r="A134">
        <v>1133</v>
      </c>
      <c r="B134" t="s">
        <v>82</v>
      </c>
      <c r="C134" t="s">
        <v>24</v>
      </c>
      <c r="D134" t="s">
        <v>25</v>
      </c>
      <c r="E134" t="s">
        <v>15</v>
      </c>
      <c r="F134">
        <v>6</v>
      </c>
      <c r="G134">
        <v>2.7</v>
      </c>
      <c r="H134">
        <v>16.2</v>
      </c>
    </row>
    <row r="135" spans="1:8" x14ac:dyDescent="0.2">
      <c r="A135">
        <v>1134</v>
      </c>
      <c r="B135" t="s">
        <v>121</v>
      </c>
      <c r="C135" t="s">
        <v>28</v>
      </c>
      <c r="D135" t="s">
        <v>29</v>
      </c>
      <c r="E135" t="s">
        <v>22</v>
      </c>
      <c r="F135">
        <v>6</v>
      </c>
      <c r="G135">
        <v>4.2</v>
      </c>
      <c r="H135">
        <v>25.2</v>
      </c>
    </row>
    <row r="136" spans="1:8" x14ac:dyDescent="0.2">
      <c r="A136">
        <v>1135</v>
      </c>
      <c r="B136" t="s">
        <v>38</v>
      </c>
      <c r="C136" t="s">
        <v>9</v>
      </c>
      <c r="D136" t="s">
        <v>10</v>
      </c>
      <c r="E136" t="s">
        <v>11</v>
      </c>
      <c r="F136">
        <v>3</v>
      </c>
      <c r="G136">
        <v>3.2</v>
      </c>
      <c r="H136">
        <v>9.6</v>
      </c>
    </row>
    <row r="137" spans="1:8" x14ac:dyDescent="0.2">
      <c r="A137">
        <v>1136</v>
      </c>
      <c r="B137" t="s">
        <v>87</v>
      </c>
      <c r="C137" t="s">
        <v>28</v>
      </c>
      <c r="D137" t="s">
        <v>47</v>
      </c>
      <c r="E137" t="s">
        <v>32</v>
      </c>
      <c r="F137">
        <v>6</v>
      </c>
      <c r="G137">
        <v>2.4</v>
      </c>
      <c r="H137">
        <v>14.4</v>
      </c>
    </row>
    <row r="138" spans="1:8" x14ac:dyDescent="0.2">
      <c r="A138">
        <v>1137</v>
      </c>
      <c r="B138" t="s">
        <v>122</v>
      </c>
      <c r="C138" t="s">
        <v>13</v>
      </c>
      <c r="D138" t="s">
        <v>25</v>
      </c>
      <c r="E138" t="s">
        <v>15</v>
      </c>
      <c r="F138">
        <v>6</v>
      </c>
      <c r="G138">
        <v>2.7</v>
      </c>
      <c r="H138">
        <v>16.2</v>
      </c>
    </row>
    <row r="139" spans="1:8" x14ac:dyDescent="0.2">
      <c r="A139">
        <v>1138</v>
      </c>
      <c r="B139" t="s">
        <v>52</v>
      </c>
      <c r="C139" t="s">
        <v>9</v>
      </c>
      <c r="D139" t="s">
        <v>25</v>
      </c>
      <c r="E139" t="s">
        <v>15</v>
      </c>
      <c r="F139">
        <v>2</v>
      </c>
      <c r="G139">
        <v>2.7</v>
      </c>
      <c r="H139">
        <v>5.4</v>
      </c>
    </row>
    <row r="140" spans="1:8" x14ac:dyDescent="0.2">
      <c r="A140">
        <v>1139</v>
      </c>
      <c r="B140" t="s">
        <v>123</v>
      </c>
      <c r="C140" t="s">
        <v>13</v>
      </c>
      <c r="D140" t="s">
        <v>29</v>
      </c>
      <c r="E140" t="s">
        <v>22</v>
      </c>
      <c r="F140">
        <v>1</v>
      </c>
      <c r="G140">
        <v>4.2</v>
      </c>
      <c r="H140">
        <v>4.2</v>
      </c>
    </row>
    <row r="141" spans="1:8" x14ac:dyDescent="0.2">
      <c r="A141">
        <v>1140</v>
      </c>
      <c r="B141" t="s">
        <v>124</v>
      </c>
      <c r="C141" t="s">
        <v>28</v>
      </c>
      <c r="D141" t="s">
        <v>17</v>
      </c>
      <c r="E141" t="s">
        <v>18</v>
      </c>
      <c r="F141">
        <v>2</v>
      </c>
      <c r="G141">
        <v>2.5</v>
      </c>
      <c r="H141">
        <v>5</v>
      </c>
    </row>
    <row r="142" spans="1:8" x14ac:dyDescent="0.2">
      <c r="A142">
        <v>1141</v>
      </c>
      <c r="B142" t="s">
        <v>89</v>
      </c>
      <c r="C142" t="s">
        <v>9</v>
      </c>
      <c r="D142" t="s">
        <v>34</v>
      </c>
      <c r="E142" t="s">
        <v>11</v>
      </c>
      <c r="F142">
        <v>5</v>
      </c>
      <c r="G142">
        <v>2.1</v>
      </c>
      <c r="H142">
        <v>10.5</v>
      </c>
    </row>
    <row r="143" spans="1:8" x14ac:dyDescent="0.2">
      <c r="A143">
        <v>1142</v>
      </c>
      <c r="B143" t="s">
        <v>119</v>
      </c>
      <c r="C143" t="s">
        <v>9</v>
      </c>
      <c r="D143" t="s">
        <v>31</v>
      </c>
      <c r="E143" t="s">
        <v>32</v>
      </c>
      <c r="F143">
        <v>1</v>
      </c>
      <c r="G143">
        <v>3</v>
      </c>
      <c r="H143">
        <v>3</v>
      </c>
    </row>
    <row r="144" spans="1:8" x14ac:dyDescent="0.2">
      <c r="A144">
        <v>1143</v>
      </c>
      <c r="B144" t="s">
        <v>125</v>
      </c>
      <c r="C144" t="s">
        <v>9</v>
      </c>
      <c r="D144" t="s">
        <v>14</v>
      </c>
      <c r="E144" t="s">
        <v>15</v>
      </c>
      <c r="F144">
        <v>3</v>
      </c>
      <c r="G144">
        <v>2</v>
      </c>
      <c r="H144">
        <v>6</v>
      </c>
    </row>
    <row r="145" spans="1:8" x14ac:dyDescent="0.2">
      <c r="A145">
        <v>1144</v>
      </c>
      <c r="B145" t="s">
        <v>70</v>
      </c>
      <c r="C145" t="s">
        <v>13</v>
      </c>
      <c r="D145" t="s">
        <v>21</v>
      </c>
      <c r="E145" t="s">
        <v>22</v>
      </c>
      <c r="F145">
        <v>3</v>
      </c>
      <c r="G145">
        <v>6.5</v>
      </c>
      <c r="H145">
        <v>19.5</v>
      </c>
    </row>
    <row r="146" spans="1:8" x14ac:dyDescent="0.2">
      <c r="A146">
        <v>1145</v>
      </c>
      <c r="B146" t="s">
        <v>126</v>
      </c>
      <c r="C146" t="s">
        <v>13</v>
      </c>
      <c r="D146" t="s">
        <v>14</v>
      </c>
      <c r="E146" t="s">
        <v>15</v>
      </c>
      <c r="F146">
        <v>3</v>
      </c>
      <c r="G146">
        <v>2</v>
      </c>
      <c r="H146">
        <v>6</v>
      </c>
    </row>
    <row r="147" spans="1:8" x14ac:dyDescent="0.2">
      <c r="A147">
        <v>1146</v>
      </c>
      <c r="B147" t="s">
        <v>99</v>
      </c>
      <c r="C147" t="s">
        <v>9</v>
      </c>
      <c r="D147" t="s">
        <v>43</v>
      </c>
      <c r="E147" t="s">
        <v>18</v>
      </c>
      <c r="F147">
        <v>5</v>
      </c>
      <c r="G147">
        <v>3.8</v>
      </c>
      <c r="H147">
        <v>19</v>
      </c>
    </row>
    <row r="148" spans="1:8" x14ac:dyDescent="0.2">
      <c r="A148">
        <v>1147</v>
      </c>
      <c r="B148" t="s">
        <v>127</v>
      </c>
      <c r="C148" t="s">
        <v>28</v>
      </c>
      <c r="D148" t="s">
        <v>29</v>
      </c>
      <c r="E148" t="s">
        <v>22</v>
      </c>
      <c r="F148">
        <v>3</v>
      </c>
      <c r="G148">
        <v>4.2</v>
      </c>
      <c r="H148">
        <v>12.6</v>
      </c>
    </row>
    <row r="149" spans="1:8" x14ac:dyDescent="0.2">
      <c r="A149">
        <v>1148</v>
      </c>
      <c r="B149" t="s">
        <v>128</v>
      </c>
      <c r="C149" t="s">
        <v>24</v>
      </c>
      <c r="D149" t="s">
        <v>43</v>
      </c>
      <c r="E149" t="s">
        <v>18</v>
      </c>
      <c r="F149">
        <v>5</v>
      </c>
      <c r="G149">
        <v>3.8</v>
      </c>
      <c r="H149">
        <v>19</v>
      </c>
    </row>
    <row r="150" spans="1:8" x14ac:dyDescent="0.2">
      <c r="A150">
        <v>1149</v>
      </c>
      <c r="B150" t="s">
        <v>27</v>
      </c>
      <c r="C150" t="s">
        <v>28</v>
      </c>
      <c r="D150" t="s">
        <v>10</v>
      </c>
      <c r="E150" t="s">
        <v>11</v>
      </c>
      <c r="F150">
        <v>2</v>
      </c>
      <c r="G150">
        <v>3.2</v>
      </c>
      <c r="H150">
        <v>6.4</v>
      </c>
    </row>
    <row r="151" spans="1:8" x14ac:dyDescent="0.2">
      <c r="A151">
        <v>1150</v>
      </c>
      <c r="B151" t="s">
        <v>117</v>
      </c>
      <c r="C151" t="s">
        <v>24</v>
      </c>
      <c r="D151" t="s">
        <v>17</v>
      </c>
      <c r="E151" t="s">
        <v>18</v>
      </c>
      <c r="F151">
        <v>5</v>
      </c>
      <c r="G151">
        <v>2.5</v>
      </c>
      <c r="H151">
        <v>12.5</v>
      </c>
    </row>
    <row r="152" spans="1:8" x14ac:dyDescent="0.2">
      <c r="A152">
        <v>1151</v>
      </c>
      <c r="B152" t="s">
        <v>129</v>
      </c>
      <c r="C152" t="s">
        <v>13</v>
      </c>
      <c r="D152" t="s">
        <v>25</v>
      </c>
      <c r="E152" t="s">
        <v>15</v>
      </c>
      <c r="F152">
        <v>2</v>
      </c>
      <c r="G152">
        <v>2.7</v>
      </c>
      <c r="H152">
        <v>5.4</v>
      </c>
    </row>
    <row r="153" spans="1:8" x14ac:dyDescent="0.2">
      <c r="A153">
        <v>1152</v>
      </c>
      <c r="B153" t="s">
        <v>81</v>
      </c>
      <c r="C153" t="s">
        <v>13</v>
      </c>
      <c r="D153" t="s">
        <v>29</v>
      </c>
      <c r="E153" t="s">
        <v>22</v>
      </c>
      <c r="F153">
        <v>4</v>
      </c>
      <c r="G153">
        <v>4.2</v>
      </c>
      <c r="H153">
        <v>16.8</v>
      </c>
    </row>
    <row r="154" spans="1:8" x14ac:dyDescent="0.2">
      <c r="A154">
        <v>1153</v>
      </c>
      <c r="B154" t="s">
        <v>110</v>
      </c>
      <c r="C154" t="s">
        <v>9</v>
      </c>
      <c r="D154" t="s">
        <v>14</v>
      </c>
      <c r="E154" t="s">
        <v>15</v>
      </c>
      <c r="F154">
        <v>2</v>
      </c>
      <c r="G154">
        <v>2</v>
      </c>
      <c r="H154">
        <v>4</v>
      </c>
    </row>
    <row r="155" spans="1:8" x14ac:dyDescent="0.2">
      <c r="A155">
        <v>1154</v>
      </c>
      <c r="B155" t="s">
        <v>35</v>
      </c>
      <c r="C155" t="s">
        <v>13</v>
      </c>
      <c r="D155" t="s">
        <v>14</v>
      </c>
      <c r="E155" t="s">
        <v>15</v>
      </c>
      <c r="F155">
        <v>3</v>
      </c>
      <c r="G155">
        <v>2</v>
      </c>
      <c r="H155">
        <v>6</v>
      </c>
    </row>
    <row r="156" spans="1:8" x14ac:dyDescent="0.2">
      <c r="A156">
        <v>1155</v>
      </c>
      <c r="B156" t="s">
        <v>65</v>
      </c>
      <c r="C156" t="s">
        <v>9</v>
      </c>
      <c r="D156" t="s">
        <v>10</v>
      </c>
      <c r="E156" t="s">
        <v>11</v>
      </c>
      <c r="F156">
        <v>4</v>
      </c>
      <c r="G156">
        <v>3.2</v>
      </c>
      <c r="H156">
        <v>12.8</v>
      </c>
    </row>
    <row r="157" spans="1:8" x14ac:dyDescent="0.2">
      <c r="A157">
        <v>1156</v>
      </c>
      <c r="B157" t="s">
        <v>130</v>
      </c>
      <c r="C157" t="s">
        <v>24</v>
      </c>
      <c r="D157" t="s">
        <v>29</v>
      </c>
      <c r="E157" t="s">
        <v>22</v>
      </c>
      <c r="F157">
        <v>3</v>
      </c>
      <c r="G157">
        <v>4.2</v>
      </c>
      <c r="H157">
        <v>12.6</v>
      </c>
    </row>
    <row r="158" spans="1:8" x14ac:dyDescent="0.2">
      <c r="A158">
        <v>1157</v>
      </c>
      <c r="B158" t="s">
        <v>55</v>
      </c>
      <c r="C158" t="s">
        <v>28</v>
      </c>
      <c r="D158" t="s">
        <v>47</v>
      </c>
      <c r="E158" t="s">
        <v>32</v>
      </c>
      <c r="F158">
        <v>5</v>
      </c>
      <c r="G158">
        <v>2.4</v>
      </c>
      <c r="H158">
        <v>12</v>
      </c>
    </row>
    <row r="159" spans="1:8" x14ac:dyDescent="0.2">
      <c r="A159">
        <v>1158</v>
      </c>
      <c r="B159" t="s">
        <v>131</v>
      </c>
      <c r="C159" t="s">
        <v>28</v>
      </c>
      <c r="D159" t="s">
        <v>34</v>
      </c>
      <c r="E159" t="s">
        <v>11</v>
      </c>
      <c r="F159">
        <v>4</v>
      </c>
      <c r="G159">
        <v>2.1</v>
      </c>
      <c r="H159">
        <v>8.4</v>
      </c>
    </row>
    <row r="160" spans="1:8" x14ac:dyDescent="0.2">
      <c r="A160">
        <v>1159</v>
      </c>
      <c r="B160" t="s">
        <v>132</v>
      </c>
      <c r="C160" t="s">
        <v>9</v>
      </c>
      <c r="D160" t="s">
        <v>34</v>
      </c>
      <c r="E160" t="s">
        <v>11</v>
      </c>
      <c r="F160">
        <v>2</v>
      </c>
      <c r="G160">
        <v>2.1</v>
      </c>
      <c r="H160">
        <v>4.2</v>
      </c>
    </row>
    <row r="161" spans="1:8" x14ac:dyDescent="0.2">
      <c r="A161">
        <v>1160</v>
      </c>
      <c r="B161" t="s">
        <v>133</v>
      </c>
      <c r="C161" t="s">
        <v>24</v>
      </c>
      <c r="D161" t="s">
        <v>43</v>
      </c>
      <c r="E161" t="s">
        <v>18</v>
      </c>
      <c r="F161">
        <v>3</v>
      </c>
      <c r="G161">
        <v>3.8</v>
      </c>
      <c r="H161">
        <v>11.4</v>
      </c>
    </row>
    <row r="162" spans="1:8" x14ac:dyDescent="0.2">
      <c r="A162">
        <v>1161</v>
      </c>
      <c r="B162" t="s">
        <v>134</v>
      </c>
      <c r="C162" t="s">
        <v>13</v>
      </c>
      <c r="D162" t="s">
        <v>17</v>
      </c>
      <c r="E162" t="s">
        <v>18</v>
      </c>
      <c r="F162">
        <v>3</v>
      </c>
      <c r="G162">
        <v>2.5</v>
      </c>
      <c r="H162">
        <v>7.5</v>
      </c>
    </row>
    <row r="163" spans="1:8" x14ac:dyDescent="0.2">
      <c r="A163">
        <v>1162</v>
      </c>
      <c r="B163" t="s">
        <v>92</v>
      </c>
      <c r="C163" t="s">
        <v>28</v>
      </c>
      <c r="D163" t="s">
        <v>17</v>
      </c>
      <c r="E163" t="s">
        <v>18</v>
      </c>
      <c r="F163">
        <v>1</v>
      </c>
      <c r="G163">
        <v>2.5</v>
      </c>
      <c r="H163">
        <v>2.5</v>
      </c>
    </row>
    <row r="164" spans="1:8" x14ac:dyDescent="0.2">
      <c r="A164">
        <v>1163</v>
      </c>
      <c r="B164" t="s">
        <v>35</v>
      </c>
      <c r="C164" t="s">
        <v>28</v>
      </c>
      <c r="D164" t="s">
        <v>25</v>
      </c>
      <c r="E164" t="s">
        <v>15</v>
      </c>
      <c r="F164">
        <v>3</v>
      </c>
      <c r="G164">
        <v>2.7</v>
      </c>
      <c r="H164">
        <v>8.1</v>
      </c>
    </row>
    <row r="165" spans="1:8" x14ac:dyDescent="0.2">
      <c r="A165">
        <v>1164</v>
      </c>
      <c r="B165" t="s">
        <v>30</v>
      </c>
      <c r="C165" t="s">
        <v>9</v>
      </c>
      <c r="D165" t="s">
        <v>17</v>
      </c>
      <c r="E165" t="s">
        <v>18</v>
      </c>
      <c r="F165">
        <v>1</v>
      </c>
      <c r="G165">
        <v>2.5</v>
      </c>
      <c r="H165">
        <v>2.5</v>
      </c>
    </row>
    <row r="166" spans="1:8" x14ac:dyDescent="0.2">
      <c r="A166">
        <v>1165</v>
      </c>
      <c r="B166" t="s">
        <v>135</v>
      </c>
      <c r="C166" t="s">
        <v>24</v>
      </c>
      <c r="D166" t="s">
        <v>47</v>
      </c>
      <c r="E166" t="s">
        <v>32</v>
      </c>
      <c r="F166">
        <v>2</v>
      </c>
      <c r="G166">
        <v>2.4</v>
      </c>
      <c r="H166">
        <v>4.8</v>
      </c>
    </row>
    <row r="167" spans="1:8" x14ac:dyDescent="0.2">
      <c r="A167">
        <v>1166</v>
      </c>
      <c r="B167" t="s">
        <v>87</v>
      </c>
      <c r="C167" t="s">
        <v>9</v>
      </c>
      <c r="D167" t="s">
        <v>25</v>
      </c>
      <c r="E167" t="s">
        <v>15</v>
      </c>
      <c r="F167">
        <v>5</v>
      </c>
      <c r="G167">
        <v>2.7</v>
      </c>
      <c r="H167">
        <v>13.5</v>
      </c>
    </row>
    <row r="168" spans="1:8" x14ac:dyDescent="0.2">
      <c r="A168">
        <v>1167</v>
      </c>
      <c r="B168" t="s">
        <v>136</v>
      </c>
      <c r="C168" t="s">
        <v>24</v>
      </c>
      <c r="D168" t="s">
        <v>10</v>
      </c>
      <c r="E168" t="s">
        <v>11</v>
      </c>
      <c r="F168">
        <v>5</v>
      </c>
      <c r="G168">
        <v>3.2</v>
      </c>
      <c r="H168">
        <v>16</v>
      </c>
    </row>
    <row r="169" spans="1:8" x14ac:dyDescent="0.2">
      <c r="A169">
        <v>1168</v>
      </c>
      <c r="B169" t="s">
        <v>126</v>
      </c>
      <c r="C169" t="s">
        <v>13</v>
      </c>
      <c r="D169" t="s">
        <v>21</v>
      </c>
      <c r="E169" t="s">
        <v>22</v>
      </c>
      <c r="F169">
        <v>1</v>
      </c>
      <c r="G169">
        <v>6.5</v>
      </c>
      <c r="H169">
        <v>6.5</v>
      </c>
    </row>
    <row r="170" spans="1:8" x14ac:dyDescent="0.2">
      <c r="A170">
        <v>1169</v>
      </c>
      <c r="B170" t="s">
        <v>137</v>
      </c>
      <c r="C170" t="s">
        <v>28</v>
      </c>
      <c r="D170" t="s">
        <v>14</v>
      </c>
      <c r="E170" t="s">
        <v>15</v>
      </c>
      <c r="F170">
        <v>6</v>
      </c>
      <c r="G170">
        <v>2</v>
      </c>
      <c r="H170">
        <v>12</v>
      </c>
    </row>
    <row r="171" spans="1:8" x14ac:dyDescent="0.2">
      <c r="A171">
        <v>1170</v>
      </c>
      <c r="B171" t="s">
        <v>66</v>
      </c>
      <c r="C171" t="s">
        <v>9</v>
      </c>
      <c r="D171" t="s">
        <v>10</v>
      </c>
      <c r="E171" t="s">
        <v>11</v>
      </c>
      <c r="F171">
        <v>2</v>
      </c>
      <c r="G171">
        <v>3.2</v>
      </c>
      <c r="H171">
        <v>6.4</v>
      </c>
    </row>
    <row r="172" spans="1:8" x14ac:dyDescent="0.2">
      <c r="A172">
        <v>1171</v>
      </c>
      <c r="B172" t="s">
        <v>138</v>
      </c>
      <c r="C172" t="s">
        <v>24</v>
      </c>
      <c r="D172" t="s">
        <v>43</v>
      </c>
      <c r="E172" t="s">
        <v>18</v>
      </c>
      <c r="F172">
        <v>3</v>
      </c>
      <c r="G172">
        <v>3.8</v>
      </c>
      <c r="H172">
        <v>11.4</v>
      </c>
    </row>
    <row r="173" spans="1:8" x14ac:dyDescent="0.2">
      <c r="A173">
        <v>1172</v>
      </c>
      <c r="B173" t="s">
        <v>69</v>
      </c>
      <c r="C173" t="s">
        <v>28</v>
      </c>
      <c r="D173" t="s">
        <v>47</v>
      </c>
      <c r="E173" t="s">
        <v>32</v>
      </c>
      <c r="F173">
        <v>3</v>
      </c>
      <c r="G173">
        <v>2.4</v>
      </c>
      <c r="H173">
        <v>7.2</v>
      </c>
    </row>
    <row r="174" spans="1:8" x14ac:dyDescent="0.2">
      <c r="A174">
        <v>1173</v>
      </c>
      <c r="B174" t="s">
        <v>139</v>
      </c>
      <c r="C174" t="s">
        <v>28</v>
      </c>
      <c r="D174" t="s">
        <v>21</v>
      </c>
      <c r="E174" t="s">
        <v>22</v>
      </c>
      <c r="F174">
        <v>6</v>
      </c>
      <c r="G174">
        <v>6.5</v>
      </c>
      <c r="H174">
        <v>39</v>
      </c>
    </row>
    <row r="175" spans="1:8" x14ac:dyDescent="0.2">
      <c r="A175">
        <v>1174</v>
      </c>
      <c r="B175" t="s">
        <v>140</v>
      </c>
      <c r="C175" t="s">
        <v>24</v>
      </c>
      <c r="D175" t="s">
        <v>34</v>
      </c>
      <c r="E175" t="s">
        <v>11</v>
      </c>
      <c r="F175">
        <v>2</v>
      </c>
      <c r="G175">
        <v>2.1</v>
      </c>
      <c r="H175">
        <v>4.2</v>
      </c>
    </row>
    <row r="176" spans="1:8" x14ac:dyDescent="0.2">
      <c r="A176">
        <v>1175</v>
      </c>
      <c r="B176" t="s">
        <v>8</v>
      </c>
      <c r="C176" t="s">
        <v>28</v>
      </c>
      <c r="D176" t="s">
        <v>34</v>
      </c>
      <c r="E176" t="s">
        <v>11</v>
      </c>
      <c r="F176">
        <v>5</v>
      </c>
      <c r="G176">
        <v>2.1</v>
      </c>
      <c r="H176">
        <v>10.5</v>
      </c>
    </row>
    <row r="177" spans="1:8" x14ac:dyDescent="0.2">
      <c r="A177">
        <v>1176</v>
      </c>
      <c r="B177" t="s">
        <v>141</v>
      </c>
      <c r="C177" t="s">
        <v>13</v>
      </c>
      <c r="D177" t="s">
        <v>21</v>
      </c>
      <c r="E177" t="s">
        <v>22</v>
      </c>
      <c r="F177">
        <v>6</v>
      </c>
      <c r="G177">
        <v>6.5</v>
      </c>
      <c r="H177">
        <v>39</v>
      </c>
    </row>
    <row r="178" spans="1:8" x14ac:dyDescent="0.2">
      <c r="A178">
        <v>1177</v>
      </c>
      <c r="B178" t="s">
        <v>74</v>
      </c>
      <c r="C178" t="s">
        <v>13</v>
      </c>
      <c r="D178" t="s">
        <v>25</v>
      </c>
      <c r="E178" t="s">
        <v>15</v>
      </c>
      <c r="F178">
        <v>1</v>
      </c>
      <c r="G178">
        <v>2.7</v>
      </c>
      <c r="H178">
        <v>2.7</v>
      </c>
    </row>
    <row r="179" spans="1:8" x14ac:dyDescent="0.2">
      <c r="A179">
        <v>1178</v>
      </c>
      <c r="B179" t="s">
        <v>142</v>
      </c>
      <c r="C179" t="s">
        <v>28</v>
      </c>
      <c r="D179" t="s">
        <v>17</v>
      </c>
      <c r="E179" t="s">
        <v>18</v>
      </c>
      <c r="F179">
        <v>2</v>
      </c>
      <c r="G179">
        <v>2.5</v>
      </c>
      <c r="H179">
        <v>5</v>
      </c>
    </row>
    <row r="180" spans="1:8" x14ac:dyDescent="0.2">
      <c r="A180">
        <v>1179</v>
      </c>
      <c r="B180" t="s">
        <v>143</v>
      </c>
      <c r="C180" t="s">
        <v>24</v>
      </c>
      <c r="D180" t="s">
        <v>17</v>
      </c>
      <c r="E180" t="s">
        <v>18</v>
      </c>
      <c r="F180">
        <v>6</v>
      </c>
      <c r="G180">
        <v>2.5</v>
      </c>
      <c r="H180">
        <v>15</v>
      </c>
    </row>
    <row r="181" spans="1:8" x14ac:dyDescent="0.2">
      <c r="A181">
        <v>1180</v>
      </c>
      <c r="B181" t="s">
        <v>127</v>
      </c>
      <c r="C181" t="s">
        <v>24</v>
      </c>
      <c r="D181" t="s">
        <v>10</v>
      </c>
      <c r="E181" t="s">
        <v>11</v>
      </c>
      <c r="F181">
        <v>2</v>
      </c>
      <c r="G181">
        <v>3.2</v>
      </c>
      <c r="H181">
        <v>6.4</v>
      </c>
    </row>
    <row r="182" spans="1:8" x14ac:dyDescent="0.2">
      <c r="A182">
        <v>1181</v>
      </c>
      <c r="B182" t="s">
        <v>93</v>
      </c>
      <c r="C182" t="s">
        <v>9</v>
      </c>
      <c r="D182" t="s">
        <v>43</v>
      </c>
      <c r="E182" t="s">
        <v>18</v>
      </c>
      <c r="F182">
        <v>5</v>
      </c>
      <c r="G182">
        <v>3.8</v>
      </c>
      <c r="H182">
        <v>19</v>
      </c>
    </row>
    <row r="183" spans="1:8" x14ac:dyDescent="0.2">
      <c r="A183">
        <v>1182</v>
      </c>
      <c r="B183" t="s">
        <v>144</v>
      </c>
      <c r="C183" t="s">
        <v>28</v>
      </c>
      <c r="D183" t="s">
        <v>29</v>
      </c>
      <c r="E183" t="s">
        <v>22</v>
      </c>
      <c r="F183">
        <v>2</v>
      </c>
      <c r="G183">
        <v>4.2</v>
      </c>
      <c r="H183">
        <v>8.4</v>
      </c>
    </row>
    <row r="184" spans="1:8" x14ac:dyDescent="0.2">
      <c r="A184">
        <v>1183</v>
      </c>
      <c r="B184" t="s">
        <v>69</v>
      </c>
      <c r="C184" t="s">
        <v>28</v>
      </c>
      <c r="D184" t="s">
        <v>25</v>
      </c>
      <c r="E184" t="s">
        <v>15</v>
      </c>
      <c r="F184">
        <v>2</v>
      </c>
      <c r="G184">
        <v>2.7</v>
      </c>
      <c r="H184">
        <v>5.4</v>
      </c>
    </row>
    <row r="185" spans="1:8" x14ac:dyDescent="0.2">
      <c r="A185">
        <v>1184</v>
      </c>
      <c r="B185" t="s">
        <v>111</v>
      </c>
      <c r="C185" t="s">
        <v>28</v>
      </c>
      <c r="D185" t="s">
        <v>43</v>
      </c>
      <c r="E185" t="s">
        <v>18</v>
      </c>
      <c r="F185">
        <v>4</v>
      </c>
      <c r="G185">
        <v>3.8</v>
      </c>
      <c r="H185">
        <v>15.2</v>
      </c>
    </row>
    <row r="186" spans="1:8" x14ac:dyDescent="0.2">
      <c r="A186">
        <v>1185</v>
      </c>
      <c r="B186" t="s">
        <v>145</v>
      </c>
      <c r="C186" t="s">
        <v>13</v>
      </c>
      <c r="D186" t="s">
        <v>17</v>
      </c>
      <c r="E186" t="s">
        <v>18</v>
      </c>
      <c r="F186">
        <v>5</v>
      </c>
      <c r="G186">
        <v>2.5</v>
      </c>
      <c r="H186">
        <v>12.5</v>
      </c>
    </row>
    <row r="187" spans="1:8" x14ac:dyDescent="0.2">
      <c r="A187">
        <v>1186</v>
      </c>
      <c r="B187" t="s">
        <v>141</v>
      </c>
      <c r="C187" t="s">
        <v>24</v>
      </c>
      <c r="D187" t="s">
        <v>25</v>
      </c>
      <c r="E187" t="s">
        <v>15</v>
      </c>
      <c r="F187">
        <v>5</v>
      </c>
      <c r="G187">
        <v>2.7</v>
      </c>
      <c r="H187">
        <v>13.5</v>
      </c>
    </row>
    <row r="188" spans="1:8" x14ac:dyDescent="0.2">
      <c r="A188">
        <v>1187</v>
      </c>
      <c r="B188" t="s">
        <v>85</v>
      </c>
      <c r="C188" t="s">
        <v>9</v>
      </c>
      <c r="D188" t="s">
        <v>21</v>
      </c>
      <c r="E188" t="s">
        <v>22</v>
      </c>
      <c r="F188">
        <v>4</v>
      </c>
      <c r="G188">
        <v>6.5</v>
      </c>
      <c r="H188">
        <v>26</v>
      </c>
    </row>
    <row r="189" spans="1:8" x14ac:dyDescent="0.2">
      <c r="A189">
        <v>1188</v>
      </c>
      <c r="B189" t="s">
        <v>53</v>
      </c>
      <c r="C189" t="s">
        <v>28</v>
      </c>
      <c r="D189" t="s">
        <v>25</v>
      </c>
      <c r="E189" t="s">
        <v>15</v>
      </c>
      <c r="F189">
        <v>3</v>
      </c>
      <c r="G189">
        <v>2.7</v>
      </c>
      <c r="H189">
        <v>8.1</v>
      </c>
    </row>
    <row r="190" spans="1:8" x14ac:dyDescent="0.2">
      <c r="A190">
        <v>1189</v>
      </c>
      <c r="B190" t="s">
        <v>146</v>
      </c>
      <c r="C190" t="s">
        <v>24</v>
      </c>
      <c r="D190" t="s">
        <v>43</v>
      </c>
      <c r="E190" t="s">
        <v>18</v>
      </c>
      <c r="F190">
        <v>1</v>
      </c>
      <c r="G190">
        <v>3.8</v>
      </c>
      <c r="H190">
        <v>3.8</v>
      </c>
    </row>
    <row r="191" spans="1:8" x14ac:dyDescent="0.2">
      <c r="A191">
        <v>1190</v>
      </c>
      <c r="B191" t="s">
        <v>19</v>
      </c>
      <c r="C191" t="s">
        <v>13</v>
      </c>
      <c r="D191" t="s">
        <v>29</v>
      </c>
      <c r="E191" t="s">
        <v>22</v>
      </c>
      <c r="F191">
        <v>1</v>
      </c>
      <c r="G191">
        <v>4.2</v>
      </c>
      <c r="H191">
        <v>4.2</v>
      </c>
    </row>
    <row r="192" spans="1:8" x14ac:dyDescent="0.2">
      <c r="A192">
        <v>1191</v>
      </c>
      <c r="B192" t="s">
        <v>147</v>
      </c>
      <c r="C192" t="s">
        <v>9</v>
      </c>
      <c r="D192" t="s">
        <v>31</v>
      </c>
      <c r="E192" t="s">
        <v>32</v>
      </c>
      <c r="F192">
        <v>5</v>
      </c>
      <c r="G192">
        <v>3</v>
      </c>
      <c r="H192">
        <v>15</v>
      </c>
    </row>
    <row r="193" spans="1:8" x14ac:dyDescent="0.2">
      <c r="A193">
        <v>1192</v>
      </c>
      <c r="B193" t="s">
        <v>23</v>
      </c>
      <c r="C193" t="s">
        <v>9</v>
      </c>
      <c r="D193" t="s">
        <v>14</v>
      </c>
      <c r="E193" t="s">
        <v>15</v>
      </c>
      <c r="F193">
        <v>2</v>
      </c>
      <c r="G193">
        <v>2</v>
      </c>
      <c r="H193">
        <v>4</v>
      </c>
    </row>
    <row r="194" spans="1:8" x14ac:dyDescent="0.2">
      <c r="A194">
        <v>1193</v>
      </c>
      <c r="B194" t="s">
        <v>121</v>
      </c>
      <c r="C194" t="s">
        <v>24</v>
      </c>
      <c r="D194" t="s">
        <v>31</v>
      </c>
      <c r="E194" t="s">
        <v>32</v>
      </c>
      <c r="F194">
        <v>4</v>
      </c>
      <c r="G194">
        <v>3</v>
      </c>
      <c r="H194">
        <v>12</v>
      </c>
    </row>
    <row r="195" spans="1:8" x14ac:dyDescent="0.2">
      <c r="A195">
        <v>1194</v>
      </c>
      <c r="B195" t="s">
        <v>111</v>
      </c>
      <c r="C195" t="s">
        <v>13</v>
      </c>
      <c r="D195" t="s">
        <v>47</v>
      </c>
      <c r="E195" t="s">
        <v>32</v>
      </c>
      <c r="F195">
        <v>1</v>
      </c>
      <c r="G195">
        <v>2.4</v>
      </c>
      <c r="H195">
        <v>2.4</v>
      </c>
    </row>
    <row r="196" spans="1:8" x14ac:dyDescent="0.2">
      <c r="A196">
        <v>1195</v>
      </c>
      <c r="B196" t="s">
        <v>70</v>
      </c>
      <c r="C196" t="s">
        <v>24</v>
      </c>
      <c r="D196" t="s">
        <v>29</v>
      </c>
      <c r="E196" t="s">
        <v>22</v>
      </c>
      <c r="F196">
        <v>3</v>
      </c>
      <c r="G196">
        <v>4.2</v>
      </c>
      <c r="H196">
        <v>12.6</v>
      </c>
    </row>
    <row r="197" spans="1:8" x14ac:dyDescent="0.2">
      <c r="A197">
        <v>1196</v>
      </c>
      <c r="B197" t="s">
        <v>27</v>
      </c>
      <c r="C197" t="s">
        <v>24</v>
      </c>
      <c r="D197" t="s">
        <v>17</v>
      </c>
      <c r="E197" t="s">
        <v>18</v>
      </c>
      <c r="F197">
        <v>5</v>
      </c>
      <c r="G197">
        <v>2.5</v>
      </c>
      <c r="H197">
        <v>12.5</v>
      </c>
    </row>
    <row r="198" spans="1:8" x14ac:dyDescent="0.2">
      <c r="A198">
        <v>1197</v>
      </c>
      <c r="B198" t="s">
        <v>141</v>
      </c>
      <c r="C198" t="s">
        <v>13</v>
      </c>
      <c r="D198" t="s">
        <v>21</v>
      </c>
      <c r="E198" t="s">
        <v>22</v>
      </c>
      <c r="F198">
        <v>2</v>
      </c>
      <c r="G198">
        <v>6.5</v>
      </c>
      <c r="H198">
        <v>13</v>
      </c>
    </row>
    <row r="199" spans="1:8" x14ac:dyDescent="0.2">
      <c r="A199">
        <v>1198</v>
      </c>
      <c r="B199" t="s">
        <v>100</v>
      </c>
      <c r="C199" t="s">
        <v>13</v>
      </c>
      <c r="D199" t="s">
        <v>21</v>
      </c>
      <c r="E199" t="s">
        <v>22</v>
      </c>
      <c r="F199">
        <v>4</v>
      </c>
      <c r="G199">
        <v>6.5</v>
      </c>
      <c r="H199">
        <v>26</v>
      </c>
    </row>
    <row r="200" spans="1:8" x14ac:dyDescent="0.2">
      <c r="A200">
        <v>1199</v>
      </c>
      <c r="B200" t="s">
        <v>53</v>
      </c>
      <c r="C200" t="s">
        <v>24</v>
      </c>
      <c r="D200" t="s">
        <v>25</v>
      </c>
      <c r="E200" t="s">
        <v>15</v>
      </c>
      <c r="F200">
        <v>1</v>
      </c>
      <c r="G200">
        <v>2.7</v>
      </c>
      <c r="H200">
        <v>2.7</v>
      </c>
    </row>
    <row r="201" spans="1:8" x14ac:dyDescent="0.2">
      <c r="A201">
        <v>1200</v>
      </c>
      <c r="B201" t="s">
        <v>148</v>
      </c>
      <c r="C201" t="s">
        <v>24</v>
      </c>
      <c r="D201" t="s">
        <v>43</v>
      </c>
      <c r="E201" t="s">
        <v>18</v>
      </c>
      <c r="F201">
        <v>1</v>
      </c>
      <c r="G201">
        <v>3.8</v>
      </c>
      <c r="H201">
        <v>3.8</v>
      </c>
    </row>
    <row r="202" spans="1:8" x14ac:dyDescent="0.2">
      <c r="A202">
        <v>1201</v>
      </c>
      <c r="B202" t="s">
        <v>149</v>
      </c>
      <c r="C202" t="s">
        <v>24</v>
      </c>
      <c r="D202" t="s">
        <v>47</v>
      </c>
      <c r="E202" t="s">
        <v>32</v>
      </c>
      <c r="F202">
        <v>5</v>
      </c>
      <c r="G202">
        <v>2.4</v>
      </c>
      <c r="H202">
        <v>12</v>
      </c>
    </row>
    <row r="203" spans="1:8" x14ac:dyDescent="0.2">
      <c r="A203">
        <v>1202</v>
      </c>
      <c r="B203" t="s">
        <v>53</v>
      </c>
      <c r="C203" t="s">
        <v>13</v>
      </c>
      <c r="D203" t="s">
        <v>25</v>
      </c>
      <c r="E203" t="s">
        <v>15</v>
      </c>
      <c r="F203">
        <v>4</v>
      </c>
      <c r="G203">
        <v>2.7</v>
      </c>
      <c r="H203">
        <v>10.8</v>
      </c>
    </row>
    <row r="204" spans="1:8" x14ac:dyDescent="0.2">
      <c r="A204">
        <v>1203</v>
      </c>
      <c r="B204" t="s">
        <v>33</v>
      </c>
      <c r="C204" t="s">
        <v>24</v>
      </c>
      <c r="D204" t="s">
        <v>31</v>
      </c>
      <c r="E204" t="s">
        <v>32</v>
      </c>
      <c r="F204">
        <v>2</v>
      </c>
      <c r="G204">
        <v>3</v>
      </c>
      <c r="H204">
        <v>6</v>
      </c>
    </row>
    <row r="205" spans="1:8" x14ac:dyDescent="0.2">
      <c r="A205">
        <v>1204</v>
      </c>
      <c r="B205" t="s">
        <v>79</v>
      </c>
      <c r="C205" t="s">
        <v>24</v>
      </c>
      <c r="D205" t="s">
        <v>47</v>
      </c>
      <c r="E205" t="s">
        <v>32</v>
      </c>
      <c r="F205">
        <v>4</v>
      </c>
      <c r="G205">
        <v>2.4</v>
      </c>
      <c r="H205">
        <v>9.6</v>
      </c>
    </row>
    <row r="206" spans="1:8" x14ac:dyDescent="0.2">
      <c r="A206">
        <v>1205</v>
      </c>
      <c r="B206" t="s">
        <v>101</v>
      </c>
      <c r="C206" t="s">
        <v>24</v>
      </c>
      <c r="D206" t="s">
        <v>34</v>
      </c>
      <c r="E206" t="s">
        <v>11</v>
      </c>
      <c r="F206">
        <v>4</v>
      </c>
      <c r="G206">
        <v>2.1</v>
      </c>
      <c r="H206">
        <v>8.4</v>
      </c>
    </row>
    <row r="207" spans="1:8" x14ac:dyDescent="0.2">
      <c r="A207">
        <v>1206</v>
      </c>
      <c r="B207" t="s">
        <v>73</v>
      </c>
      <c r="C207" t="s">
        <v>13</v>
      </c>
      <c r="D207" t="s">
        <v>25</v>
      </c>
      <c r="E207" t="s">
        <v>15</v>
      </c>
      <c r="F207">
        <v>4</v>
      </c>
      <c r="G207">
        <v>2.7</v>
      </c>
      <c r="H207">
        <v>10.8</v>
      </c>
    </row>
    <row r="208" spans="1:8" x14ac:dyDescent="0.2">
      <c r="A208">
        <v>1207</v>
      </c>
      <c r="B208" t="s">
        <v>86</v>
      </c>
      <c r="C208" t="s">
        <v>9</v>
      </c>
      <c r="D208" t="s">
        <v>10</v>
      </c>
      <c r="E208" t="s">
        <v>11</v>
      </c>
      <c r="F208">
        <v>4</v>
      </c>
      <c r="G208">
        <v>3.2</v>
      </c>
      <c r="H208">
        <v>12.8</v>
      </c>
    </row>
    <row r="209" spans="1:8" x14ac:dyDescent="0.2">
      <c r="A209">
        <v>1208</v>
      </c>
      <c r="B209" t="s">
        <v>150</v>
      </c>
      <c r="C209" t="s">
        <v>24</v>
      </c>
      <c r="D209" t="s">
        <v>43</v>
      </c>
      <c r="E209" t="s">
        <v>18</v>
      </c>
      <c r="F209">
        <v>6</v>
      </c>
      <c r="G209">
        <v>3.8</v>
      </c>
      <c r="H209">
        <v>22.8</v>
      </c>
    </row>
    <row r="210" spans="1:8" x14ac:dyDescent="0.2">
      <c r="A210">
        <v>1209</v>
      </c>
      <c r="B210" t="s">
        <v>102</v>
      </c>
      <c r="C210" t="s">
        <v>28</v>
      </c>
      <c r="D210" t="s">
        <v>47</v>
      </c>
      <c r="E210" t="s">
        <v>32</v>
      </c>
      <c r="F210">
        <v>6</v>
      </c>
      <c r="G210">
        <v>2.4</v>
      </c>
      <c r="H210">
        <v>14.4</v>
      </c>
    </row>
    <row r="211" spans="1:8" x14ac:dyDescent="0.2">
      <c r="A211">
        <v>1210</v>
      </c>
      <c r="B211" t="s">
        <v>151</v>
      </c>
      <c r="C211" t="s">
        <v>13</v>
      </c>
      <c r="D211" t="s">
        <v>25</v>
      </c>
      <c r="E211" t="s">
        <v>15</v>
      </c>
      <c r="F211">
        <v>6</v>
      </c>
      <c r="G211">
        <v>2.7</v>
      </c>
      <c r="H211">
        <v>16.2</v>
      </c>
    </row>
    <row r="212" spans="1:8" x14ac:dyDescent="0.2">
      <c r="A212">
        <v>1211</v>
      </c>
      <c r="B212" t="s">
        <v>64</v>
      </c>
      <c r="C212" t="s">
        <v>13</v>
      </c>
      <c r="D212" t="s">
        <v>29</v>
      </c>
      <c r="E212" t="s">
        <v>22</v>
      </c>
      <c r="F212">
        <v>2</v>
      </c>
      <c r="G212">
        <v>4.2</v>
      </c>
      <c r="H212">
        <v>8.4</v>
      </c>
    </row>
    <row r="213" spans="1:8" x14ac:dyDescent="0.2">
      <c r="A213">
        <v>1212</v>
      </c>
      <c r="B213" t="s">
        <v>129</v>
      </c>
      <c r="C213" t="s">
        <v>24</v>
      </c>
      <c r="D213" t="s">
        <v>34</v>
      </c>
      <c r="E213" t="s">
        <v>11</v>
      </c>
      <c r="F213">
        <v>6</v>
      </c>
      <c r="G213">
        <v>2.1</v>
      </c>
      <c r="H213">
        <v>12.6</v>
      </c>
    </row>
    <row r="214" spans="1:8" x14ac:dyDescent="0.2">
      <c r="A214">
        <v>1213</v>
      </c>
      <c r="B214" t="s">
        <v>152</v>
      </c>
      <c r="C214" t="s">
        <v>9</v>
      </c>
      <c r="D214" t="s">
        <v>47</v>
      </c>
      <c r="E214" t="s">
        <v>32</v>
      </c>
      <c r="F214">
        <v>1</v>
      </c>
      <c r="G214">
        <v>2.4</v>
      </c>
      <c r="H214">
        <v>2.4</v>
      </c>
    </row>
    <row r="215" spans="1:8" x14ac:dyDescent="0.2">
      <c r="A215">
        <v>1214</v>
      </c>
      <c r="B215" t="s">
        <v>23</v>
      </c>
      <c r="C215" t="s">
        <v>9</v>
      </c>
      <c r="D215" t="s">
        <v>43</v>
      </c>
      <c r="E215" t="s">
        <v>18</v>
      </c>
      <c r="F215">
        <v>5</v>
      </c>
      <c r="G215">
        <v>3.8</v>
      </c>
      <c r="H215">
        <v>19</v>
      </c>
    </row>
    <row r="216" spans="1:8" x14ac:dyDescent="0.2">
      <c r="A216">
        <v>1215</v>
      </c>
      <c r="B216" t="s">
        <v>64</v>
      </c>
      <c r="C216" t="s">
        <v>9</v>
      </c>
      <c r="D216" t="s">
        <v>31</v>
      </c>
      <c r="E216" t="s">
        <v>32</v>
      </c>
      <c r="F216">
        <v>4</v>
      </c>
      <c r="G216">
        <v>3</v>
      </c>
      <c r="H216">
        <v>12</v>
      </c>
    </row>
    <row r="217" spans="1:8" x14ac:dyDescent="0.2">
      <c r="A217">
        <v>1216</v>
      </c>
      <c r="B217" t="s">
        <v>133</v>
      </c>
      <c r="C217" t="s">
        <v>28</v>
      </c>
      <c r="D217" t="s">
        <v>47</v>
      </c>
      <c r="E217" t="s">
        <v>32</v>
      </c>
      <c r="F217">
        <v>6</v>
      </c>
      <c r="G217">
        <v>2.4</v>
      </c>
      <c r="H217">
        <v>14.4</v>
      </c>
    </row>
    <row r="218" spans="1:8" x14ac:dyDescent="0.2">
      <c r="A218">
        <v>1217</v>
      </c>
      <c r="B218" t="s">
        <v>108</v>
      </c>
      <c r="C218" t="s">
        <v>28</v>
      </c>
      <c r="D218" t="s">
        <v>43</v>
      </c>
      <c r="E218" t="s">
        <v>18</v>
      </c>
      <c r="F218">
        <v>5</v>
      </c>
      <c r="G218">
        <v>3.8</v>
      </c>
      <c r="H218">
        <v>19</v>
      </c>
    </row>
    <row r="219" spans="1:8" x14ac:dyDescent="0.2">
      <c r="A219">
        <v>1218</v>
      </c>
      <c r="B219" t="s">
        <v>142</v>
      </c>
      <c r="C219" t="s">
        <v>9</v>
      </c>
      <c r="D219" t="s">
        <v>47</v>
      </c>
      <c r="E219" t="s">
        <v>32</v>
      </c>
      <c r="F219">
        <v>2</v>
      </c>
      <c r="G219">
        <v>2.4</v>
      </c>
      <c r="H219">
        <v>4.8</v>
      </c>
    </row>
    <row r="220" spans="1:8" x14ac:dyDescent="0.2">
      <c r="A220">
        <v>1219</v>
      </c>
      <c r="B220" t="s">
        <v>123</v>
      </c>
      <c r="C220" t="s">
        <v>13</v>
      </c>
      <c r="D220" t="s">
        <v>43</v>
      </c>
      <c r="E220" t="s">
        <v>18</v>
      </c>
      <c r="F220">
        <v>3</v>
      </c>
      <c r="G220">
        <v>3.8</v>
      </c>
      <c r="H220">
        <v>11.4</v>
      </c>
    </row>
    <row r="221" spans="1:8" x14ac:dyDescent="0.2">
      <c r="A221">
        <v>1220</v>
      </c>
      <c r="B221" t="s">
        <v>44</v>
      </c>
      <c r="C221" t="s">
        <v>28</v>
      </c>
      <c r="D221" t="s">
        <v>47</v>
      </c>
      <c r="E221" t="s">
        <v>32</v>
      </c>
      <c r="F221">
        <v>1</v>
      </c>
      <c r="G221">
        <v>2.4</v>
      </c>
      <c r="H221">
        <v>2.4</v>
      </c>
    </row>
    <row r="222" spans="1:8" x14ac:dyDescent="0.2">
      <c r="A222">
        <v>1221</v>
      </c>
      <c r="B222" t="s">
        <v>153</v>
      </c>
      <c r="C222" t="s">
        <v>9</v>
      </c>
      <c r="D222" t="s">
        <v>47</v>
      </c>
      <c r="E222" t="s">
        <v>32</v>
      </c>
      <c r="F222">
        <v>5</v>
      </c>
      <c r="G222">
        <v>2.4</v>
      </c>
      <c r="H222">
        <v>12</v>
      </c>
    </row>
    <row r="223" spans="1:8" x14ac:dyDescent="0.2">
      <c r="A223">
        <v>1222</v>
      </c>
      <c r="B223" t="s">
        <v>154</v>
      </c>
      <c r="C223" t="s">
        <v>9</v>
      </c>
      <c r="D223" t="s">
        <v>14</v>
      </c>
      <c r="E223" t="s">
        <v>15</v>
      </c>
      <c r="F223">
        <v>2</v>
      </c>
      <c r="G223">
        <v>2</v>
      </c>
      <c r="H223">
        <v>4</v>
      </c>
    </row>
    <row r="224" spans="1:8" x14ac:dyDescent="0.2">
      <c r="A224">
        <v>1223</v>
      </c>
      <c r="B224" t="s">
        <v>155</v>
      </c>
      <c r="C224" t="s">
        <v>24</v>
      </c>
      <c r="D224" t="s">
        <v>17</v>
      </c>
      <c r="E224" t="s">
        <v>18</v>
      </c>
      <c r="F224">
        <v>4</v>
      </c>
      <c r="G224">
        <v>2.5</v>
      </c>
      <c r="H224">
        <v>10</v>
      </c>
    </row>
    <row r="225" spans="1:8" x14ac:dyDescent="0.2">
      <c r="A225">
        <v>1224</v>
      </c>
      <c r="B225" t="s">
        <v>147</v>
      </c>
      <c r="C225" t="s">
        <v>24</v>
      </c>
      <c r="D225" t="s">
        <v>31</v>
      </c>
      <c r="E225" t="s">
        <v>32</v>
      </c>
      <c r="F225">
        <v>1</v>
      </c>
      <c r="G225">
        <v>3</v>
      </c>
      <c r="H225">
        <v>3</v>
      </c>
    </row>
    <row r="226" spans="1:8" x14ac:dyDescent="0.2">
      <c r="A226">
        <v>1225</v>
      </c>
      <c r="B226" t="s">
        <v>141</v>
      </c>
      <c r="C226" t="s">
        <v>24</v>
      </c>
      <c r="D226" t="s">
        <v>34</v>
      </c>
      <c r="E226" t="s">
        <v>11</v>
      </c>
      <c r="F226">
        <v>3</v>
      </c>
      <c r="G226">
        <v>2.1</v>
      </c>
      <c r="H226">
        <v>6.3</v>
      </c>
    </row>
    <row r="227" spans="1:8" x14ac:dyDescent="0.2">
      <c r="A227">
        <v>1226</v>
      </c>
      <c r="B227" t="s">
        <v>105</v>
      </c>
      <c r="C227" t="s">
        <v>9</v>
      </c>
      <c r="D227" t="s">
        <v>14</v>
      </c>
      <c r="E227" t="s">
        <v>15</v>
      </c>
      <c r="F227">
        <v>1</v>
      </c>
      <c r="G227">
        <v>2</v>
      </c>
      <c r="H227">
        <v>2</v>
      </c>
    </row>
    <row r="228" spans="1:8" x14ac:dyDescent="0.2">
      <c r="A228">
        <v>1227</v>
      </c>
      <c r="B228" t="s">
        <v>156</v>
      </c>
      <c r="C228" t="s">
        <v>13</v>
      </c>
      <c r="D228" t="s">
        <v>10</v>
      </c>
      <c r="E228" t="s">
        <v>11</v>
      </c>
      <c r="F228">
        <v>5</v>
      </c>
      <c r="G228">
        <v>3.2</v>
      </c>
      <c r="H228">
        <v>16</v>
      </c>
    </row>
    <row r="229" spans="1:8" x14ac:dyDescent="0.2">
      <c r="A229">
        <v>1228</v>
      </c>
      <c r="B229" t="s">
        <v>134</v>
      </c>
      <c r="C229" t="s">
        <v>24</v>
      </c>
      <c r="D229" t="s">
        <v>10</v>
      </c>
      <c r="E229" t="s">
        <v>11</v>
      </c>
      <c r="F229">
        <v>3</v>
      </c>
      <c r="G229">
        <v>3.2</v>
      </c>
      <c r="H229">
        <v>9.6</v>
      </c>
    </row>
    <row r="230" spans="1:8" x14ac:dyDescent="0.2">
      <c r="A230">
        <v>1229</v>
      </c>
      <c r="B230" t="s">
        <v>39</v>
      </c>
      <c r="C230" t="s">
        <v>9</v>
      </c>
      <c r="D230" t="s">
        <v>29</v>
      </c>
      <c r="E230" t="s">
        <v>22</v>
      </c>
      <c r="F230">
        <v>3</v>
      </c>
      <c r="G230">
        <v>4.2</v>
      </c>
      <c r="H230">
        <v>12.6</v>
      </c>
    </row>
    <row r="231" spans="1:8" x14ac:dyDescent="0.2">
      <c r="A231">
        <v>1230</v>
      </c>
      <c r="B231" t="s">
        <v>77</v>
      </c>
      <c r="C231" t="s">
        <v>9</v>
      </c>
      <c r="D231" t="s">
        <v>47</v>
      </c>
      <c r="E231" t="s">
        <v>32</v>
      </c>
      <c r="F231">
        <v>2</v>
      </c>
      <c r="G231">
        <v>2.4</v>
      </c>
      <c r="H231">
        <v>4.8</v>
      </c>
    </row>
    <row r="232" spans="1:8" x14ac:dyDescent="0.2">
      <c r="A232">
        <v>1231</v>
      </c>
      <c r="B232" t="s">
        <v>157</v>
      </c>
      <c r="C232" t="s">
        <v>13</v>
      </c>
      <c r="D232" t="s">
        <v>17</v>
      </c>
      <c r="E232" t="s">
        <v>18</v>
      </c>
      <c r="F232">
        <v>1</v>
      </c>
      <c r="G232">
        <v>2.5</v>
      </c>
      <c r="H232">
        <v>2.5</v>
      </c>
    </row>
    <row r="233" spans="1:8" x14ac:dyDescent="0.2">
      <c r="A233">
        <v>1232</v>
      </c>
      <c r="B233" t="s">
        <v>97</v>
      </c>
      <c r="C233" t="s">
        <v>28</v>
      </c>
      <c r="D233" t="s">
        <v>47</v>
      </c>
      <c r="E233" t="s">
        <v>32</v>
      </c>
      <c r="F233">
        <v>1</v>
      </c>
      <c r="G233">
        <v>2.4</v>
      </c>
      <c r="H233">
        <v>2.4</v>
      </c>
    </row>
    <row r="234" spans="1:8" x14ac:dyDescent="0.2">
      <c r="A234">
        <v>1233</v>
      </c>
      <c r="B234" t="s">
        <v>158</v>
      </c>
      <c r="C234" t="s">
        <v>28</v>
      </c>
      <c r="D234" t="s">
        <v>34</v>
      </c>
      <c r="E234" t="s">
        <v>11</v>
      </c>
      <c r="F234">
        <v>4</v>
      </c>
      <c r="G234">
        <v>2.1</v>
      </c>
      <c r="H234">
        <v>8.4</v>
      </c>
    </row>
    <row r="235" spans="1:8" x14ac:dyDescent="0.2">
      <c r="A235">
        <v>1234</v>
      </c>
      <c r="B235" t="s">
        <v>159</v>
      </c>
      <c r="C235" t="s">
        <v>24</v>
      </c>
      <c r="D235" t="s">
        <v>43</v>
      </c>
      <c r="E235" t="s">
        <v>18</v>
      </c>
      <c r="F235">
        <v>6</v>
      </c>
      <c r="G235">
        <v>3.8</v>
      </c>
      <c r="H235">
        <v>22.8</v>
      </c>
    </row>
    <row r="236" spans="1:8" x14ac:dyDescent="0.2">
      <c r="A236">
        <v>1235</v>
      </c>
      <c r="B236" t="s">
        <v>160</v>
      </c>
      <c r="C236" t="s">
        <v>9</v>
      </c>
      <c r="D236" t="s">
        <v>17</v>
      </c>
      <c r="E236" t="s">
        <v>18</v>
      </c>
      <c r="F236">
        <v>6</v>
      </c>
      <c r="G236">
        <v>2.5</v>
      </c>
      <c r="H236">
        <v>15</v>
      </c>
    </row>
    <row r="237" spans="1:8" x14ac:dyDescent="0.2">
      <c r="A237">
        <v>1236</v>
      </c>
      <c r="B237" t="s">
        <v>161</v>
      </c>
      <c r="C237" t="s">
        <v>9</v>
      </c>
      <c r="D237" t="s">
        <v>17</v>
      </c>
      <c r="E237" t="s">
        <v>18</v>
      </c>
      <c r="F237">
        <v>6</v>
      </c>
      <c r="G237">
        <v>2.5</v>
      </c>
      <c r="H237">
        <v>15</v>
      </c>
    </row>
    <row r="238" spans="1:8" x14ac:dyDescent="0.2">
      <c r="A238">
        <v>1237</v>
      </c>
      <c r="B238" t="s">
        <v>79</v>
      </c>
      <c r="C238" t="s">
        <v>24</v>
      </c>
      <c r="D238" t="s">
        <v>43</v>
      </c>
      <c r="E238" t="s">
        <v>18</v>
      </c>
      <c r="F238">
        <v>6</v>
      </c>
      <c r="G238">
        <v>3.8</v>
      </c>
      <c r="H238">
        <v>22.8</v>
      </c>
    </row>
    <row r="239" spans="1:8" x14ac:dyDescent="0.2">
      <c r="A239">
        <v>1238</v>
      </c>
      <c r="B239" t="s">
        <v>83</v>
      </c>
      <c r="C239" t="s">
        <v>13</v>
      </c>
      <c r="D239" t="s">
        <v>47</v>
      </c>
      <c r="E239" t="s">
        <v>32</v>
      </c>
      <c r="F239">
        <v>5</v>
      </c>
      <c r="G239">
        <v>2.4</v>
      </c>
      <c r="H239">
        <v>12</v>
      </c>
    </row>
    <row r="240" spans="1:8" x14ac:dyDescent="0.2">
      <c r="A240">
        <v>1239</v>
      </c>
      <c r="B240" t="s">
        <v>162</v>
      </c>
      <c r="C240" t="s">
        <v>13</v>
      </c>
      <c r="D240" t="s">
        <v>29</v>
      </c>
      <c r="E240" t="s">
        <v>22</v>
      </c>
      <c r="F240">
        <v>5</v>
      </c>
      <c r="G240">
        <v>4.2</v>
      </c>
      <c r="H240">
        <v>21</v>
      </c>
    </row>
    <row r="241" spans="1:8" x14ac:dyDescent="0.2">
      <c r="A241">
        <v>1240</v>
      </c>
      <c r="B241" t="s">
        <v>56</v>
      </c>
      <c r="C241" t="s">
        <v>13</v>
      </c>
      <c r="D241" t="s">
        <v>47</v>
      </c>
      <c r="E241" t="s">
        <v>32</v>
      </c>
      <c r="F241">
        <v>2</v>
      </c>
      <c r="G241">
        <v>2.4</v>
      </c>
      <c r="H241">
        <v>4.8</v>
      </c>
    </row>
    <row r="242" spans="1:8" x14ac:dyDescent="0.2">
      <c r="A242">
        <v>1241</v>
      </c>
      <c r="B242" t="s">
        <v>35</v>
      </c>
      <c r="C242" t="s">
        <v>28</v>
      </c>
      <c r="D242" t="s">
        <v>29</v>
      </c>
      <c r="E242" t="s">
        <v>22</v>
      </c>
      <c r="F242">
        <v>1</v>
      </c>
      <c r="G242">
        <v>4.2</v>
      </c>
      <c r="H242">
        <v>4.2</v>
      </c>
    </row>
    <row r="243" spans="1:8" x14ac:dyDescent="0.2">
      <c r="A243">
        <v>1242</v>
      </c>
      <c r="B243" t="s">
        <v>148</v>
      </c>
      <c r="C243" t="s">
        <v>28</v>
      </c>
      <c r="D243" t="s">
        <v>10</v>
      </c>
      <c r="E243" t="s">
        <v>11</v>
      </c>
      <c r="F243">
        <v>3</v>
      </c>
      <c r="G243">
        <v>3.2</v>
      </c>
      <c r="H243">
        <v>9.6</v>
      </c>
    </row>
    <row r="244" spans="1:8" x14ac:dyDescent="0.2">
      <c r="A244">
        <v>1243</v>
      </c>
      <c r="B244" t="s">
        <v>163</v>
      </c>
      <c r="C244" t="s">
        <v>28</v>
      </c>
      <c r="D244" t="s">
        <v>47</v>
      </c>
      <c r="E244" t="s">
        <v>32</v>
      </c>
      <c r="F244">
        <v>4</v>
      </c>
      <c r="G244">
        <v>2.4</v>
      </c>
      <c r="H244">
        <v>9.6</v>
      </c>
    </row>
    <row r="245" spans="1:8" x14ac:dyDescent="0.2">
      <c r="A245">
        <v>1244</v>
      </c>
      <c r="B245" t="s">
        <v>81</v>
      </c>
      <c r="C245" t="s">
        <v>24</v>
      </c>
      <c r="D245" t="s">
        <v>25</v>
      </c>
      <c r="E245" t="s">
        <v>15</v>
      </c>
      <c r="F245">
        <v>5</v>
      </c>
      <c r="G245">
        <v>2.7</v>
      </c>
      <c r="H245">
        <v>13.5</v>
      </c>
    </row>
    <row r="246" spans="1:8" x14ac:dyDescent="0.2">
      <c r="A246">
        <v>1245</v>
      </c>
      <c r="B246" t="s">
        <v>164</v>
      </c>
      <c r="C246" t="s">
        <v>28</v>
      </c>
      <c r="D246" t="s">
        <v>17</v>
      </c>
      <c r="E246" t="s">
        <v>18</v>
      </c>
      <c r="F246">
        <v>3</v>
      </c>
      <c r="G246">
        <v>2.5</v>
      </c>
      <c r="H246">
        <v>7.5</v>
      </c>
    </row>
    <row r="247" spans="1:8" x14ac:dyDescent="0.2">
      <c r="A247">
        <v>1246</v>
      </c>
      <c r="B247" t="s">
        <v>140</v>
      </c>
      <c r="C247" t="s">
        <v>24</v>
      </c>
      <c r="D247" t="s">
        <v>34</v>
      </c>
      <c r="E247" t="s">
        <v>11</v>
      </c>
      <c r="F247">
        <v>4</v>
      </c>
      <c r="G247">
        <v>2.1</v>
      </c>
      <c r="H247">
        <v>8.4</v>
      </c>
    </row>
    <row r="248" spans="1:8" x14ac:dyDescent="0.2">
      <c r="A248">
        <v>1247</v>
      </c>
      <c r="B248" t="s">
        <v>33</v>
      </c>
      <c r="C248" t="s">
        <v>28</v>
      </c>
      <c r="D248" t="s">
        <v>34</v>
      </c>
      <c r="E248" t="s">
        <v>11</v>
      </c>
      <c r="F248">
        <v>5</v>
      </c>
      <c r="G248">
        <v>2.1</v>
      </c>
      <c r="H248">
        <v>10.5</v>
      </c>
    </row>
    <row r="249" spans="1:8" x14ac:dyDescent="0.2">
      <c r="A249">
        <v>1248</v>
      </c>
      <c r="B249" t="s">
        <v>165</v>
      </c>
      <c r="C249" t="s">
        <v>24</v>
      </c>
      <c r="D249" t="s">
        <v>10</v>
      </c>
      <c r="E249" t="s">
        <v>11</v>
      </c>
      <c r="F249">
        <v>4</v>
      </c>
      <c r="G249">
        <v>3.2</v>
      </c>
      <c r="H249">
        <v>12.8</v>
      </c>
    </row>
    <row r="250" spans="1:8" x14ac:dyDescent="0.2">
      <c r="A250">
        <v>1249</v>
      </c>
      <c r="B250" t="s">
        <v>147</v>
      </c>
      <c r="C250" t="s">
        <v>28</v>
      </c>
      <c r="D250" t="s">
        <v>34</v>
      </c>
      <c r="E250" t="s">
        <v>11</v>
      </c>
      <c r="F250">
        <v>1</v>
      </c>
      <c r="G250">
        <v>2.1</v>
      </c>
      <c r="H250">
        <v>2.1</v>
      </c>
    </row>
    <row r="251" spans="1:8" x14ac:dyDescent="0.2">
      <c r="A251">
        <v>1250</v>
      </c>
      <c r="B251" t="s">
        <v>53</v>
      </c>
      <c r="C251" t="s">
        <v>28</v>
      </c>
      <c r="D251" t="s">
        <v>34</v>
      </c>
      <c r="E251" t="s">
        <v>11</v>
      </c>
      <c r="F251">
        <v>1</v>
      </c>
      <c r="G251">
        <v>2.1</v>
      </c>
      <c r="H251">
        <v>2.1</v>
      </c>
    </row>
    <row r="252" spans="1:8" x14ac:dyDescent="0.2">
      <c r="A252">
        <v>1251</v>
      </c>
      <c r="B252" t="s">
        <v>50</v>
      </c>
      <c r="C252" t="s">
        <v>9</v>
      </c>
      <c r="D252" t="s">
        <v>17</v>
      </c>
      <c r="E252" t="s">
        <v>18</v>
      </c>
      <c r="F252">
        <v>4</v>
      </c>
      <c r="G252">
        <v>2.5</v>
      </c>
      <c r="H252">
        <v>10</v>
      </c>
    </row>
    <row r="253" spans="1:8" x14ac:dyDescent="0.2">
      <c r="A253">
        <v>1252</v>
      </c>
      <c r="B253" t="s">
        <v>166</v>
      </c>
      <c r="C253" t="s">
        <v>9</v>
      </c>
      <c r="D253" t="s">
        <v>31</v>
      </c>
      <c r="E253" t="s">
        <v>32</v>
      </c>
      <c r="F253">
        <v>3</v>
      </c>
      <c r="G253">
        <v>3</v>
      </c>
      <c r="H253">
        <v>9</v>
      </c>
    </row>
    <row r="254" spans="1:8" x14ac:dyDescent="0.2">
      <c r="A254">
        <v>1253</v>
      </c>
      <c r="B254" t="s">
        <v>44</v>
      </c>
      <c r="C254" t="s">
        <v>24</v>
      </c>
      <c r="D254" t="s">
        <v>31</v>
      </c>
      <c r="E254" t="s">
        <v>32</v>
      </c>
      <c r="F254">
        <v>6</v>
      </c>
      <c r="G254">
        <v>3</v>
      </c>
      <c r="H254">
        <v>18</v>
      </c>
    </row>
    <row r="255" spans="1:8" x14ac:dyDescent="0.2">
      <c r="A255">
        <v>1254</v>
      </c>
      <c r="B255" t="s">
        <v>118</v>
      </c>
      <c r="C255" t="s">
        <v>9</v>
      </c>
      <c r="D255" t="s">
        <v>25</v>
      </c>
      <c r="E255" t="s">
        <v>15</v>
      </c>
      <c r="F255">
        <v>2</v>
      </c>
      <c r="G255">
        <v>2.7</v>
      </c>
      <c r="H255">
        <v>5.4</v>
      </c>
    </row>
    <row r="256" spans="1:8" x14ac:dyDescent="0.2">
      <c r="A256">
        <v>1255</v>
      </c>
      <c r="B256" t="s">
        <v>60</v>
      </c>
      <c r="C256" t="s">
        <v>24</v>
      </c>
      <c r="D256" t="s">
        <v>31</v>
      </c>
      <c r="E256" t="s">
        <v>32</v>
      </c>
      <c r="F256">
        <v>5</v>
      </c>
      <c r="G256">
        <v>3</v>
      </c>
      <c r="H256">
        <v>15</v>
      </c>
    </row>
    <row r="257" spans="1:8" x14ac:dyDescent="0.2">
      <c r="A257">
        <v>1256</v>
      </c>
      <c r="B257" t="s">
        <v>71</v>
      </c>
      <c r="C257" t="s">
        <v>28</v>
      </c>
      <c r="D257" t="s">
        <v>47</v>
      </c>
      <c r="E257" t="s">
        <v>32</v>
      </c>
      <c r="F257">
        <v>6</v>
      </c>
      <c r="G257">
        <v>2.4</v>
      </c>
      <c r="H257">
        <v>14.4</v>
      </c>
    </row>
    <row r="258" spans="1:8" x14ac:dyDescent="0.2">
      <c r="A258">
        <v>1257</v>
      </c>
      <c r="B258" t="s">
        <v>81</v>
      </c>
      <c r="C258" t="s">
        <v>28</v>
      </c>
      <c r="D258" t="s">
        <v>34</v>
      </c>
      <c r="E258" t="s">
        <v>11</v>
      </c>
      <c r="F258">
        <v>4</v>
      </c>
      <c r="G258">
        <v>2.1</v>
      </c>
      <c r="H258">
        <v>8.4</v>
      </c>
    </row>
    <row r="259" spans="1:8" x14ac:dyDescent="0.2">
      <c r="A259">
        <v>1258</v>
      </c>
      <c r="B259" t="s">
        <v>93</v>
      </c>
      <c r="C259" t="s">
        <v>13</v>
      </c>
      <c r="D259" t="s">
        <v>29</v>
      </c>
      <c r="E259" t="s">
        <v>22</v>
      </c>
      <c r="F259">
        <v>3</v>
      </c>
      <c r="G259">
        <v>4.2</v>
      </c>
      <c r="H259">
        <v>12.6</v>
      </c>
    </row>
    <row r="260" spans="1:8" x14ac:dyDescent="0.2">
      <c r="A260">
        <v>1259</v>
      </c>
      <c r="B260" t="s">
        <v>167</v>
      </c>
      <c r="C260" t="s">
        <v>28</v>
      </c>
      <c r="D260" t="s">
        <v>10</v>
      </c>
      <c r="E260" t="s">
        <v>11</v>
      </c>
      <c r="F260">
        <v>4</v>
      </c>
      <c r="G260">
        <v>3.2</v>
      </c>
      <c r="H260">
        <v>12.8</v>
      </c>
    </row>
    <row r="261" spans="1:8" x14ac:dyDescent="0.2">
      <c r="A261">
        <v>1260</v>
      </c>
      <c r="B261" t="s">
        <v>77</v>
      </c>
      <c r="C261" t="s">
        <v>9</v>
      </c>
      <c r="D261" t="s">
        <v>17</v>
      </c>
      <c r="E261" t="s">
        <v>18</v>
      </c>
      <c r="F261">
        <v>6</v>
      </c>
      <c r="G261">
        <v>2.5</v>
      </c>
      <c r="H261">
        <v>15</v>
      </c>
    </row>
    <row r="262" spans="1:8" x14ac:dyDescent="0.2">
      <c r="A262">
        <v>1261</v>
      </c>
      <c r="B262" t="s">
        <v>36</v>
      </c>
      <c r="C262" t="s">
        <v>9</v>
      </c>
      <c r="D262" t="s">
        <v>14</v>
      </c>
      <c r="E262" t="s">
        <v>15</v>
      </c>
      <c r="F262">
        <v>5</v>
      </c>
      <c r="G262">
        <v>2</v>
      </c>
      <c r="H262">
        <v>10</v>
      </c>
    </row>
    <row r="263" spans="1:8" x14ac:dyDescent="0.2">
      <c r="A263">
        <v>1262</v>
      </c>
      <c r="B263" t="s">
        <v>36</v>
      </c>
      <c r="C263" t="s">
        <v>24</v>
      </c>
      <c r="D263" t="s">
        <v>34</v>
      </c>
      <c r="E263" t="s">
        <v>11</v>
      </c>
      <c r="F263">
        <v>6</v>
      </c>
      <c r="G263">
        <v>2.1</v>
      </c>
      <c r="H263">
        <v>12.6</v>
      </c>
    </row>
    <row r="264" spans="1:8" x14ac:dyDescent="0.2">
      <c r="A264">
        <v>1263</v>
      </c>
      <c r="B264" t="s">
        <v>16</v>
      </c>
      <c r="C264" t="s">
        <v>28</v>
      </c>
      <c r="D264" t="s">
        <v>29</v>
      </c>
      <c r="E264" t="s">
        <v>22</v>
      </c>
      <c r="F264">
        <v>4</v>
      </c>
      <c r="G264">
        <v>4.2</v>
      </c>
      <c r="H264">
        <v>16.8</v>
      </c>
    </row>
    <row r="265" spans="1:8" x14ac:dyDescent="0.2">
      <c r="A265">
        <v>1264</v>
      </c>
      <c r="B265" t="s">
        <v>168</v>
      </c>
      <c r="C265" t="s">
        <v>24</v>
      </c>
      <c r="D265" t="s">
        <v>43</v>
      </c>
      <c r="E265" t="s">
        <v>18</v>
      </c>
      <c r="F265">
        <v>2</v>
      </c>
      <c r="G265">
        <v>3.8</v>
      </c>
      <c r="H265">
        <v>7.6</v>
      </c>
    </row>
    <row r="266" spans="1:8" x14ac:dyDescent="0.2">
      <c r="A266">
        <v>1265</v>
      </c>
      <c r="B266" t="s">
        <v>57</v>
      </c>
      <c r="C266" t="s">
        <v>13</v>
      </c>
      <c r="D266" t="s">
        <v>14</v>
      </c>
      <c r="E266" t="s">
        <v>15</v>
      </c>
      <c r="F266">
        <v>4</v>
      </c>
      <c r="G266">
        <v>2</v>
      </c>
      <c r="H266">
        <v>8</v>
      </c>
    </row>
    <row r="267" spans="1:8" x14ac:dyDescent="0.2">
      <c r="A267">
        <v>1266</v>
      </c>
      <c r="B267" t="s">
        <v>169</v>
      </c>
      <c r="C267" t="s">
        <v>24</v>
      </c>
      <c r="D267" t="s">
        <v>14</v>
      </c>
      <c r="E267" t="s">
        <v>15</v>
      </c>
      <c r="F267">
        <v>3</v>
      </c>
      <c r="G267">
        <v>2</v>
      </c>
      <c r="H267">
        <v>6</v>
      </c>
    </row>
    <row r="268" spans="1:8" x14ac:dyDescent="0.2">
      <c r="A268">
        <v>1267</v>
      </c>
      <c r="B268" t="s">
        <v>166</v>
      </c>
      <c r="C268" t="s">
        <v>13</v>
      </c>
      <c r="D268" t="s">
        <v>21</v>
      </c>
      <c r="E268" t="s">
        <v>22</v>
      </c>
      <c r="F268">
        <v>4</v>
      </c>
      <c r="G268">
        <v>6.5</v>
      </c>
      <c r="H268">
        <v>26</v>
      </c>
    </row>
    <row r="269" spans="1:8" x14ac:dyDescent="0.2">
      <c r="A269">
        <v>1268</v>
      </c>
      <c r="B269" t="s">
        <v>156</v>
      </c>
      <c r="C269" t="s">
        <v>9</v>
      </c>
      <c r="D269" t="s">
        <v>21</v>
      </c>
      <c r="E269" t="s">
        <v>22</v>
      </c>
      <c r="F269">
        <v>5</v>
      </c>
      <c r="G269">
        <v>6.5</v>
      </c>
      <c r="H269">
        <v>32.5</v>
      </c>
    </row>
    <row r="270" spans="1:8" x14ac:dyDescent="0.2">
      <c r="A270">
        <v>1269</v>
      </c>
      <c r="B270" t="s">
        <v>69</v>
      </c>
      <c r="C270" t="s">
        <v>13</v>
      </c>
      <c r="D270" t="s">
        <v>25</v>
      </c>
      <c r="E270" t="s">
        <v>15</v>
      </c>
      <c r="F270">
        <v>6</v>
      </c>
      <c r="G270">
        <v>2.7</v>
      </c>
      <c r="H270">
        <v>16.2</v>
      </c>
    </row>
    <row r="271" spans="1:8" x14ac:dyDescent="0.2">
      <c r="A271">
        <v>1270</v>
      </c>
      <c r="B271" t="s">
        <v>170</v>
      </c>
      <c r="C271" t="s">
        <v>28</v>
      </c>
      <c r="D271" t="s">
        <v>21</v>
      </c>
      <c r="E271" t="s">
        <v>22</v>
      </c>
      <c r="F271">
        <v>4</v>
      </c>
      <c r="G271">
        <v>6.5</v>
      </c>
      <c r="H271">
        <v>26</v>
      </c>
    </row>
    <row r="272" spans="1:8" x14ac:dyDescent="0.2">
      <c r="A272">
        <v>1271</v>
      </c>
      <c r="B272" t="s">
        <v>97</v>
      </c>
      <c r="C272" t="s">
        <v>28</v>
      </c>
      <c r="D272" t="s">
        <v>21</v>
      </c>
      <c r="E272" t="s">
        <v>22</v>
      </c>
      <c r="F272">
        <v>2</v>
      </c>
      <c r="G272">
        <v>6.5</v>
      </c>
      <c r="H272">
        <v>13</v>
      </c>
    </row>
    <row r="273" spans="1:8" x14ac:dyDescent="0.2">
      <c r="A273">
        <v>1272</v>
      </c>
      <c r="B273" t="s">
        <v>61</v>
      </c>
      <c r="C273" t="s">
        <v>24</v>
      </c>
      <c r="D273" t="s">
        <v>14</v>
      </c>
      <c r="E273" t="s">
        <v>15</v>
      </c>
      <c r="F273">
        <v>2</v>
      </c>
      <c r="G273">
        <v>2</v>
      </c>
      <c r="H273">
        <v>4</v>
      </c>
    </row>
    <row r="274" spans="1:8" x14ac:dyDescent="0.2">
      <c r="A274">
        <v>1273</v>
      </c>
      <c r="B274" t="s">
        <v>153</v>
      </c>
      <c r="C274" t="s">
        <v>9</v>
      </c>
      <c r="D274" t="s">
        <v>47</v>
      </c>
      <c r="E274" t="s">
        <v>32</v>
      </c>
      <c r="F274">
        <v>4</v>
      </c>
      <c r="G274">
        <v>2.4</v>
      </c>
      <c r="H274">
        <v>9.6</v>
      </c>
    </row>
    <row r="275" spans="1:8" x14ac:dyDescent="0.2">
      <c r="A275">
        <v>1274</v>
      </c>
      <c r="B275" t="s">
        <v>88</v>
      </c>
      <c r="C275" t="s">
        <v>13</v>
      </c>
      <c r="D275" t="s">
        <v>21</v>
      </c>
      <c r="E275" t="s">
        <v>22</v>
      </c>
      <c r="F275">
        <v>6</v>
      </c>
      <c r="G275">
        <v>6.5</v>
      </c>
      <c r="H275">
        <v>39</v>
      </c>
    </row>
    <row r="276" spans="1:8" x14ac:dyDescent="0.2">
      <c r="A276">
        <v>1275</v>
      </c>
      <c r="B276" t="s">
        <v>171</v>
      </c>
      <c r="C276" t="s">
        <v>13</v>
      </c>
      <c r="D276" t="s">
        <v>25</v>
      </c>
      <c r="E276" t="s">
        <v>15</v>
      </c>
      <c r="F276">
        <v>1</v>
      </c>
      <c r="G276">
        <v>2.7</v>
      </c>
      <c r="H276">
        <v>2.7</v>
      </c>
    </row>
    <row r="277" spans="1:8" x14ac:dyDescent="0.2">
      <c r="A277">
        <v>1276</v>
      </c>
      <c r="B277" t="s">
        <v>62</v>
      </c>
      <c r="C277" t="s">
        <v>24</v>
      </c>
      <c r="D277" t="s">
        <v>31</v>
      </c>
      <c r="E277" t="s">
        <v>32</v>
      </c>
      <c r="F277">
        <v>1</v>
      </c>
      <c r="G277">
        <v>3</v>
      </c>
      <c r="H277">
        <v>3</v>
      </c>
    </row>
    <row r="278" spans="1:8" x14ac:dyDescent="0.2">
      <c r="A278">
        <v>1277</v>
      </c>
      <c r="B278" t="s">
        <v>172</v>
      </c>
      <c r="C278" t="s">
        <v>13</v>
      </c>
      <c r="D278" t="s">
        <v>17</v>
      </c>
      <c r="E278" t="s">
        <v>18</v>
      </c>
      <c r="F278">
        <v>2</v>
      </c>
      <c r="G278">
        <v>2.5</v>
      </c>
      <c r="H278">
        <v>5</v>
      </c>
    </row>
    <row r="279" spans="1:8" x14ac:dyDescent="0.2">
      <c r="A279">
        <v>1278</v>
      </c>
      <c r="B279" t="s">
        <v>86</v>
      </c>
      <c r="C279" t="s">
        <v>28</v>
      </c>
      <c r="D279" t="s">
        <v>21</v>
      </c>
      <c r="E279" t="s">
        <v>22</v>
      </c>
      <c r="F279">
        <v>2</v>
      </c>
      <c r="G279">
        <v>6.5</v>
      </c>
      <c r="H279">
        <v>13</v>
      </c>
    </row>
    <row r="280" spans="1:8" x14ac:dyDescent="0.2">
      <c r="A280">
        <v>1279</v>
      </c>
      <c r="B280" t="s">
        <v>164</v>
      </c>
      <c r="C280" t="s">
        <v>9</v>
      </c>
      <c r="D280" t="s">
        <v>29</v>
      </c>
      <c r="E280" t="s">
        <v>22</v>
      </c>
      <c r="F280">
        <v>4</v>
      </c>
      <c r="G280">
        <v>4.2</v>
      </c>
      <c r="H280">
        <v>16.8</v>
      </c>
    </row>
    <row r="281" spans="1:8" x14ac:dyDescent="0.2">
      <c r="A281">
        <v>1280</v>
      </c>
      <c r="B281" t="s">
        <v>140</v>
      </c>
      <c r="C281" t="s">
        <v>28</v>
      </c>
      <c r="D281" t="s">
        <v>34</v>
      </c>
      <c r="E281" t="s">
        <v>11</v>
      </c>
      <c r="F281">
        <v>6</v>
      </c>
      <c r="G281">
        <v>2.1</v>
      </c>
      <c r="H281">
        <v>12.6</v>
      </c>
    </row>
    <row r="282" spans="1:8" x14ac:dyDescent="0.2">
      <c r="A282">
        <v>1281</v>
      </c>
      <c r="B282" t="s">
        <v>49</v>
      </c>
      <c r="C282" t="s">
        <v>24</v>
      </c>
      <c r="D282" t="s">
        <v>31</v>
      </c>
      <c r="E282" t="s">
        <v>32</v>
      </c>
      <c r="F282">
        <v>3</v>
      </c>
      <c r="G282">
        <v>3</v>
      </c>
      <c r="H282">
        <v>9</v>
      </c>
    </row>
    <row r="283" spans="1:8" x14ac:dyDescent="0.2">
      <c r="A283">
        <v>1282</v>
      </c>
      <c r="B283" t="s">
        <v>33</v>
      </c>
      <c r="C283" t="s">
        <v>24</v>
      </c>
      <c r="D283" t="s">
        <v>10</v>
      </c>
      <c r="E283" t="s">
        <v>11</v>
      </c>
      <c r="F283">
        <v>2</v>
      </c>
      <c r="G283">
        <v>3.2</v>
      </c>
      <c r="H283">
        <v>6.4</v>
      </c>
    </row>
    <row r="284" spans="1:8" x14ac:dyDescent="0.2">
      <c r="A284">
        <v>1283</v>
      </c>
      <c r="B284" t="s">
        <v>103</v>
      </c>
      <c r="C284" t="s">
        <v>9</v>
      </c>
      <c r="D284" t="s">
        <v>14</v>
      </c>
      <c r="E284" t="s">
        <v>15</v>
      </c>
      <c r="F284">
        <v>4</v>
      </c>
      <c r="G284">
        <v>2</v>
      </c>
      <c r="H284">
        <v>8</v>
      </c>
    </row>
    <row r="285" spans="1:8" x14ac:dyDescent="0.2">
      <c r="A285">
        <v>1284</v>
      </c>
      <c r="B285" t="s">
        <v>98</v>
      </c>
      <c r="C285" t="s">
        <v>13</v>
      </c>
      <c r="D285" t="s">
        <v>34</v>
      </c>
      <c r="E285" t="s">
        <v>11</v>
      </c>
      <c r="F285">
        <v>4</v>
      </c>
      <c r="G285">
        <v>2.1</v>
      </c>
      <c r="H285">
        <v>8.4</v>
      </c>
    </row>
    <row r="286" spans="1:8" x14ac:dyDescent="0.2">
      <c r="A286">
        <v>1285</v>
      </c>
      <c r="B286" t="s">
        <v>90</v>
      </c>
      <c r="C286" t="s">
        <v>9</v>
      </c>
      <c r="D286" t="s">
        <v>43</v>
      </c>
      <c r="E286" t="s">
        <v>18</v>
      </c>
      <c r="F286">
        <v>3</v>
      </c>
      <c r="G286">
        <v>3.8</v>
      </c>
      <c r="H286">
        <v>11.4</v>
      </c>
    </row>
    <row r="287" spans="1:8" x14ac:dyDescent="0.2">
      <c r="A287">
        <v>1286</v>
      </c>
      <c r="B287" t="s">
        <v>173</v>
      </c>
      <c r="C287" t="s">
        <v>24</v>
      </c>
      <c r="D287" t="s">
        <v>47</v>
      </c>
      <c r="E287" t="s">
        <v>32</v>
      </c>
      <c r="F287">
        <v>1</v>
      </c>
      <c r="G287">
        <v>2.4</v>
      </c>
      <c r="H287">
        <v>2.4</v>
      </c>
    </row>
    <row r="288" spans="1:8" x14ac:dyDescent="0.2">
      <c r="A288">
        <v>1287</v>
      </c>
      <c r="B288" t="s">
        <v>169</v>
      </c>
      <c r="C288" t="s">
        <v>9</v>
      </c>
      <c r="D288" t="s">
        <v>47</v>
      </c>
      <c r="E288" t="s">
        <v>32</v>
      </c>
      <c r="F288">
        <v>6</v>
      </c>
      <c r="G288">
        <v>2.4</v>
      </c>
      <c r="H288">
        <v>14.4</v>
      </c>
    </row>
    <row r="289" spans="1:8" x14ac:dyDescent="0.2">
      <c r="A289">
        <v>1288</v>
      </c>
      <c r="B289" t="s">
        <v>84</v>
      </c>
      <c r="C289" t="s">
        <v>24</v>
      </c>
      <c r="D289" t="s">
        <v>14</v>
      </c>
      <c r="E289" t="s">
        <v>15</v>
      </c>
      <c r="F289">
        <v>4</v>
      </c>
      <c r="G289">
        <v>2</v>
      </c>
      <c r="H289">
        <v>8</v>
      </c>
    </row>
    <row r="290" spans="1:8" x14ac:dyDescent="0.2">
      <c r="A290">
        <v>1289</v>
      </c>
      <c r="B290" t="s">
        <v>62</v>
      </c>
      <c r="C290" t="s">
        <v>13</v>
      </c>
      <c r="D290" t="s">
        <v>25</v>
      </c>
      <c r="E290" t="s">
        <v>15</v>
      </c>
      <c r="F290">
        <v>3</v>
      </c>
      <c r="G290">
        <v>2.7</v>
      </c>
      <c r="H290">
        <v>8.1</v>
      </c>
    </row>
    <row r="291" spans="1:8" x14ac:dyDescent="0.2">
      <c r="A291">
        <v>1290</v>
      </c>
      <c r="B291" t="s">
        <v>37</v>
      </c>
      <c r="C291" t="s">
        <v>13</v>
      </c>
      <c r="D291" t="s">
        <v>17</v>
      </c>
      <c r="E291" t="s">
        <v>18</v>
      </c>
      <c r="F291">
        <v>4</v>
      </c>
      <c r="G291">
        <v>2.5</v>
      </c>
      <c r="H291">
        <v>10</v>
      </c>
    </row>
    <row r="292" spans="1:8" x14ac:dyDescent="0.2">
      <c r="A292">
        <v>1291</v>
      </c>
      <c r="B292" t="s">
        <v>174</v>
      </c>
      <c r="C292" t="s">
        <v>13</v>
      </c>
      <c r="D292" t="s">
        <v>43</v>
      </c>
      <c r="E292" t="s">
        <v>18</v>
      </c>
      <c r="F292">
        <v>4</v>
      </c>
      <c r="G292">
        <v>3.8</v>
      </c>
      <c r="H292">
        <v>15.2</v>
      </c>
    </row>
    <row r="293" spans="1:8" x14ac:dyDescent="0.2">
      <c r="A293">
        <v>1292</v>
      </c>
      <c r="B293" t="s">
        <v>175</v>
      </c>
      <c r="C293" t="s">
        <v>13</v>
      </c>
      <c r="D293" t="s">
        <v>43</v>
      </c>
      <c r="E293" t="s">
        <v>18</v>
      </c>
      <c r="F293">
        <v>6</v>
      </c>
      <c r="G293">
        <v>3.8</v>
      </c>
      <c r="H293">
        <v>22.8</v>
      </c>
    </row>
    <row r="294" spans="1:8" x14ac:dyDescent="0.2">
      <c r="A294">
        <v>1293</v>
      </c>
      <c r="B294" t="s">
        <v>162</v>
      </c>
      <c r="C294" t="s">
        <v>13</v>
      </c>
      <c r="D294" t="s">
        <v>47</v>
      </c>
      <c r="E294" t="s">
        <v>32</v>
      </c>
      <c r="F294">
        <v>5</v>
      </c>
      <c r="G294">
        <v>2.4</v>
      </c>
      <c r="H294">
        <v>12</v>
      </c>
    </row>
    <row r="295" spans="1:8" x14ac:dyDescent="0.2">
      <c r="A295">
        <v>1294</v>
      </c>
      <c r="B295" t="s">
        <v>55</v>
      </c>
      <c r="C295" t="s">
        <v>9</v>
      </c>
      <c r="D295" t="s">
        <v>43</v>
      </c>
      <c r="E295" t="s">
        <v>18</v>
      </c>
      <c r="F295">
        <v>2</v>
      </c>
      <c r="G295">
        <v>3.8</v>
      </c>
      <c r="H295">
        <v>7.6</v>
      </c>
    </row>
    <row r="296" spans="1:8" x14ac:dyDescent="0.2">
      <c r="A296">
        <v>1295</v>
      </c>
      <c r="B296" t="s">
        <v>176</v>
      </c>
      <c r="C296" t="s">
        <v>28</v>
      </c>
      <c r="D296" t="s">
        <v>17</v>
      </c>
      <c r="E296" t="s">
        <v>18</v>
      </c>
      <c r="F296">
        <v>2</v>
      </c>
      <c r="G296">
        <v>2.5</v>
      </c>
      <c r="H296">
        <v>5</v>
      </c>
    </row>
    <row r="297" spans="1:8" x14ac:dyDescent="0.2">
      <c r="A297">
        <v>1296</v>
      </c>
      <c r="B297" t="s">
        <v>177</v>
      </c>
      <c r="C297" t="s">
        <v>28</v>
      </c>
      <c r="D297" t="s">
        <v>10</v>
      </c>
      <c r="E297" t="s">
        <v>11</v>
      </c>
      <c r="F297">
        <v>4</v>
      </c>
      <c r="G297">
        <v>3.2</v>
      </c>
      <c r="H297">
        <v>12.8</v>
      </c>
    </row>
    <row r="298" spans="1:8" x14ac:dyDescent="0.2">
      <c r="A298">
        <v>1297</v>
      </c>
      <c r="B298" t="s">
        <v>70</v>
      </c>
      <c r="C298" t="s">
        <v>24</v>
      </c>
      <c r="D298" t="s">
        <v>10</v>
      </c>
      <c r="E298" t="s">
        <v>11</v>
      </c>
      <c r="F298">
        <v>1</v>
      </c>
      <c r="G298">
        <v>3.2</v>
      </c>
      <c r="H298">
        <v>3.2</v>
      </c>
    </row>
    <row r="299" spans="1:8" x14ac:dyDescent="0.2">
      <c r="A299">
        <v>1298</v>
      </c>
      <c r="B299" t="s">
        <v>79</v>
      </c>
      <c r="C299" t="s">
        <v>9</v>
      </c>
      <c r="D299" t="s">
        <v>47</v>
      </c>
      <c r="E299" t="s">
        <v>32</v>
      </c>
      <c r="F299">
        <v>3</v>
      </c>
      <c r="G299">
        <v>2.4</v>
      </c>
      <c r="H299">
        <v>7.2</v>
      </c>
    </row>
    <row r="300" spans="1:8" x14ac:dyDescent="0.2">
      <c r="A300">
        <v>1299</v>
      </c>
      <c r="B300" t="s">
        <v>69</v>
      </c>
      <c r="C300" t="s">
        <v>13</v>
      </c>
      <c r="D300" t="s">
        <v>47</v>
      </c>
      <c r="E300" t="s">
        <v>32</v>
      </c>
      <c r="F300">
        <v>6</v>
      </c>
      <c r="G300">
        <v>2.4</v>
      </c>
      <c r="H300">
        <v>14.4</v>
      </c>
    </row>
    <row r="301" spans="1:8" x14ac:dyDescent="0.2">
      <c r="A301">
        <v>1300</v>
      </c>
      <c r="B301" t="s">
        <v>70</v>
      </c>
      <c r="C301" t="s">
        <v>24</v>
      </c>
      <c r="D301" t="s">
        <v>34</v>
      </c>
      <c r="E301" t="s">
        <v>11</v>
      </c>
      <c r="F301">
        <v>6</v>
      </c>
      <c r="G301">
        <v>2.1</v>
      </c>
      <c r="H301">
        <v>12.6</v>
      </c>
    </row>
    <row r="302" spans="1:8" x14ac:dyDescent="0.2">
      <c r="A302">
        <v>1301</v>
      </c>
      <c r="B302" t="s">
        <v>77</v>
      </c>
      <c r="C302" t="s">
        <v>9</v>
      </c>
      <c r="D302" t="s">
        <v>10</v>
      </c>
      <c r="E302" t="s">
        <v>11</v>
      </c>
      <c r="F302">
        <v>1</v>
      </c>
      <c r="G302">
        <v>3.2</v>
      </c>
      <c r="H302">
        <v>3.2</v>
      </c>
    </row>
    <row r="303" spans="1:8" x14ac:dyDescent="0.2">
      <c r="A303">
        <v>1302</v>
      </c>
      <c r="B303" t="s">
        <v>70</v>
      </c>
      <c r="C303" t="s">
        <v>9</v>
      </c>
      <c r="D303" t="s">
        <v>21</v>
      </c>
      <c r="E303" t="s">
        <v>22</v>
      </c>
      <c r="F303">
        <v>4</v>
      </c>
      <c r="G303">
        <v>6.5</v>
      </c>
      <c r="H303">
        <v>26</v>
      </c>
    </row>
    <row r="304" spans="1:8" x14ac:dyDescent="0.2">
      <c r="A304">
        <v>1303</v>
      </c>
      <c r="B304" t="s">
        <v>40</v>
      </c>
      <c r="C304" t="s">
        <v>24</v>
      </c>
      <c r="D304" t="s">
        <v>34</v>
      </c>
      <c r="E304" t="s">
        <v>11</v>
      </c>
      <c r="F304">
        <v>6</v>
      </c>
      <c r="G304">
        <v>2.1</v>
      </c>
      <c r="H304">
        <v>12.6</v>
      </c>
    </row>
    <row r="305" spans="1:8" x14ac:dyDescent="0.2">
      <c r="A305">
        <v>1304</v>
      </c>
      <c r="B305" t="s">
        <v>137</v>
      </c>
      <c r="C305" t="s">
        <v>13</v>
      </c>
      <c r="D305" t="s">
        <v>31</v>
      </c>
      <c r="E305" t="s">
        <v>32</v>
      </c>
      <c r="F305">
        <v>5</v>
      </c>
      <c r="G305">
        <v>3</v>
      </c>
      <c r="H305">
        <v>15</v>
      </c>
    </row>
    <row r="306" spans="1:8" x14ac:dyDescent="0.2">
      <c r="A306">
        <v>1305</v>
      </c>
      <c r="B306" t="s">
        <v>26</v>
      </c>
      <c r="C306" t="s">
        <v>28</v>
      </c>
      <c r="D306" t="s">
        <v>29</v>
      </c>
      <c r="E306" t="s">
        <v>22</v>
      </c>
      <c r="F306">
        <v>5</v>
      </c>
      <c r="G306">
        <v>4.2</v>
      </c>
      <c r="H306">
        <v>21</v>
      </c>
    </row>
    <row r="307" spans="1:8" x14ac:dyDescent="0.2">
      <c r="A307">
        <v>1306</v>
      </c>
      <c r="B307" t="s">
        <v>178</v>
      </c>
      <c r="C307" t="s">
        <v>13</v>
      </c>
      <c r="D307" t="s">
        <v>21</v>
      </c>
      <c r="E307" t="s">
        <v>22</v>
      </c>
      <c r="F307">
        <v>1</v>
      </c>
      <c r="G307">
        <v>6.5</v>
      </c>
      <c r="H307">
        <v>6.5</v>
      </c>
    </row>
    <row r="308" spans="1:8" x14ac:dyDescent="0.2">
      <c r="A308">
        <v>1307</v>
      </c>
      <c r="B308" t="s">
        <v>42</v>
      </c>
      <c r="C308" t="s">
        <v>24</v>
      </c>
      <c r="D308" t="s">
        <v>34</v>
      </c>
      <c r="E308" t="s">
        <v>11</v>
      </c>
      <c r="F308">
        <v>5</v>
      </c>
      <c r="G308">
        <v>2.1</v>
      </c>
      <c r="H308">
        <v>10.5</v>
      </c>
    </row>
    <row r="309" spans="1:8" x14ac:dyDescent="0.2">
      <c r="A309">
        <v>1308</v>
      </c>
      <c r="B309" t="s">
        <v>179</v>
      </c>
      <c r="C309" t="s">
        <v>13</v>
      </c>
      <c r="D309" t="s">
        <v>25</v>
      </c>
      <c r="E309" t="s">
        <v>15</v>
      </c>
      <c r="F309">
        <v>6</v>
      </c>
      <c r="G309">
        <v>2.7</v>
      </c>
      <c r="H309">
        <v>16.2</v>
      </c>
    </row>
    <row r="310" spans="1:8" x14ac:dyDescent="0.2">
      <c r="A310">
        <v>1309</v>
      </c>
      <c r="B310" t="s">
        <v>117</v>
      </c>
      <c r="C310" t="s">
        <v>28</v>
      </c>
      <c r="D310" t="s">
        <v>21</v>
      </c>
      <c r="E310" t="s">
        <v>22</v>
      </c>
      <c r="F310">
        <v>1</v>
      </c>
      <c r="G310">
        <v>6.5</v>
      </c>
      <c r="H310">
        <v>6.5</v>
      </c>
    </row>
    <row r="311" spans="1:8" x14ac:dyDescent="0.2">
      <c r="A311">
        <v>1310</v>
      </c>
      <c r="B311" t="s">
        <v>100</v>
      </c>
      <c r="C311" t="s">
        <v>28</v>
      </c>
      <c r="D311" t="s">
        <v>17</v>
      </c>
      <c r="E311" t="s">
        <v>18</v>
      </c>
      <c r="F311">
        <v>5</v>
      </c>
      <c r="G311">
        <v>2.5</v>
      </c>
      <c r="H311">
        <v>12.5</v>
      </c>
    </row>
    <row r="312" spans="1:8" x14ac:dyDescent="0.2">
      <c r="A312">
        <v>1311</v>
      </c>
      <c r="B312" t="s">
        <v>109</v>
      </c>
      <c r="C312" t="s">
        <v>9</v>
      </c>
      <c r="D312" t="s">
        <v>47</v>
      </c>
      <c r="E312" t="s">
        <v>32</v>
      </c>
      <c r="F312">
        <v>6</v>
      </c>
      <c r="G312">
        <v>2.4</v>
      </c>
      <c r="H312">
        <v>14.4</v>
      </c>
    </row>
    <row r="313" spans="1:8" x14ac:dyDescent="0.2">
      <c r="A313">
        <v>1312</v>
      </c>
      <c r="B313" t="s">
        <v>133</v>
      </c>
      <c r="C313" t="s">
        <v>28</v>
      </c>
      <c r="D313" t="s">
        <v>17</v>
      </c>
      <c r="E313" t="s">
        <v>18</v>
      </c>
      <c r="F313">
        <v>2</v>
      </c>
      <c r="G313">
        <v>2.5</v>
      </c>
      <c r="H313">
        <v>5</v>
      </c>
    </row>
    <row r="314" spans="1:8" x14ac:dyDescent="0.2">
      <c r="A314">
        <v>1313</v>
      </c>
      <c r="B314" t="s">
        <v>62</v>
      </c>
      <c r="C314" t="s">
        <v>9</v>
      </c>
      <c r="D314" t="s">
        <v>31</v>
      </c>
      <c r="E314" t="s">
        <v>32</v>
      </c>
      <c r="F314">
        <v>3</v>
      </c>
      <c r="G314">
        <v>3</v>
      </c>
      <c r="H314">
        <v>9</v>
      </c>
    </row>
    <row r="315" spans="1:8" x14ac:dyDescent="0.2">
      <c r="A315">
        <v>1314</v>
      </c>
      <c r="B315" t="s">
        <v>138</v>
      </c>
      <c r="C315" t="s">
        <v>9</v>
      </c>
      <c r="D315" t="s">
        <v>14</v>
      </c>
      <c r="E315" t="s">
        <v>15</v>
      </c>
      <c r="F315">
        <v>5</v>
      </c>
      <c r="G315">
        <v>2</v>
      </c>
      <c r="H315">
        <v>10</v>
      </c>
    </row>
    <row r="316" spans="1:8" x14ac:dyDescent="0.2">
      <c r="A316">
        <v>1315</v>
      </c>
      <c r="B316" t="s">
        <v>170</v>
      </c>
      <c r="C316" t="s">
        <v>9</v>
      </c>
      <c r="D316" t="s">
        <v>34</v>
      </c>
      <c r="E316" t="s">
        <v>11</v>
      </c>
      <c r="F316">
        <v>3</v>
      </c>
      <c r="G316">
        <v>2.1</v>
      </c>
      <c r="H316">
        <v>6.3</v>
      </c>
    </row>
    <row r="317" spans="1:8" x14ac:dyDescent="0.2">
      <c r="A317">
        <v>1316</v>
      </c>
      <c r="B317" t="s">
        <v>168</v>
      </c>
      <c r="C317" t="s">
        <v>13</v>
      </c>
      <c r="D317" t="s">
        <v>17</v>
      </c>
      <c r="E317" t="s">
        <v>18</v>
      </c>
      <c r="F317">
        <v>1</v>
      </c>
      <c r="G317">
        <v>2.5</v>
      </c>
      <c r="H317">
        <v>2.5</v>
      </c>
    </row>
    <row r="318" spans="1:8" x14ac:dyDescent="0.2">
      <c r="A318">
        <v>1317</v>
      </c>
      <c r="B318" t="s">
        <v>106</v>
      </c>
      <c r="C318" t="s">
        <v>13</v>
      </c>
      <c r="D318" t="s">
        <v>43</v>
      </c>
      <c r="E318" t="s">
        <v>18</v>
      </c>
      <c r="F318">
        <v>1</v>
      </c>
      <c r="G318">
        <v>3.8</v>
      </c>
      <c r="H318">
        <v>3.8</v>
      </c>
    </row>
    <row r="319" spans="1:8" x14ac:dyDescent="0.2">
      <c r="A319">
        <v>1318</v>
      </c>
      <c r="B319" t="s">
        <v>88</v>
      </c>
      <c r="C319" t="s">
        <v>9</v>
      </c>
      <c r="D319" t="s">
        <v>43</v>
      </c>
      <c r="E319" t="s">
        <v>18</v>
      </c>
      <c r="F319">
        <v>4</v>
      </c>
      <c r="G319">
        <v>3.8</v>
      </c>
      <c r="H319">
        <v>15.2</v>
      </c>
    </row>
    <row r="320" spans="1:8" x14ac:dyDescent="0.2">
      <c r="A320">
        <v>1319</v>
      </c>
      <c r="B320" t="s">
        <v>102</v>
      </c>
      <c r="C320" t="s">
        <v>9</v>
      </c>
      <c r="D320" t="s">
        <v>31</v>
      </c>
      <c r="E320" t="s">
        <v>32</v>
      </c>
      <c r="F320">
        <v>4</v>
      </c>
      <c r="G320">
        <v>3</v>
      </c>
      <c r="H320">
        <v>12</v>
      </c>
    </row>
    <row r="321" spans="1:8" x14ac:dyDescent="0.2">
      <c r="A321">
        <v>1320</v>
      </c>
      <c r="B321" t="s">
        <v>104</v>
      </c>
      <c r="C321" t="s">
        <v>24</v>
      </c>
      <c r="D321" t="s">
        <v>17</v>
      </c>
      <c r="E321" t="s">
        <v>18</v>
      </c>
      <c r="F321">
        <v>1</v>
      </c>
      <c r="G321">
        <v>2.5</v>
      </c>
      <c r="H321">
        <v>2.5</v>
      </c>
    </row>
    <row r="322" spans="1:8" x14ac:dyDescent="0.2">
      <c r="A322">
        <v>1321</v>
      </c>
      <c r="B322" t="s">
        <v>81</v>
      </c>
      <c r="C322" t="s">
        <v>28</v>
      </c>
      <c r="D322" t="s">
        <v>47</v>
      </c>
      <c r="E322" t="s">
        <v>32</v>
      </c>
      <c r="F322">
        <v>4</v>
      </c>
      <c r="G322">
        <v>2.4</v>
      </c>
      <c r="H322">
        <v>9.6</v>
      </c>
    </row>
    <row r="323" spans="1:8" x14ac:dyDescent="0.2">
      <c r="A323">
        <v>1322</v>
      </c>
      <c r="B323" t="s">
        <v>180</v>
      </c>
      <c r="C323" t="s">
        <v>9</v>
      </c>
      <c r="D323" t="s">
        <v>14</v>
      </c>
      <c r="E323" t="s">
        <v>15</v>
      </c>
      <c r="F323">
        <v>1</v>
      </c>
      <c r="G323">
        <v>2</v>
      </c>
      <c r="H323">
        <v>2</v>
      </c>
    </row>
    <row r="324" spans="1:8" x14ac:dyDescent="0.2">
      <c r="A324">
        <v>1323</v>
      </c>
      <c r="B324" t="s">
        <v>35</v>
      </c>
      <c r="C324" t="s">
        <v>9</v>
      </c>
      <c r="D324" t="s">
        <v>31</v>
      </c>
      <c r="E324" t="s">
        <v>32</v>
      </c>
      <c r="F324">
        <v>6</v>
      </c>
      <c r="G324">
        <v>3</v>
      </c>
      <c r="H324">
        <v>18</v>
      </c>
    </row>
    <row r="325" spans="1:8" x14ac:dyDescent="0.2">
      <c r="A325">
        <v>1324</v>
      </c>
      <c r="B325" t="s">
        <v>181</v>
      </c>
      <c r="C325" t="s">
        <v>9</v>
      </c>
      <c r="D325" t="s">
        <v>10</v>
      </c>
      <c r="E325" t="s">
        <v>11</v>
      </c>
      <c r="F325">
        <v>2</v>
      </c>
      <c r="G325">
        <v>3.2</v>
      </c>
      <c r="H325">
        <v>6.4</v>
      </c>
    </row>
    <row r="326" spans="1:8" x14ac:dyDescent="0.2">
      <c r="A326">
        <v>1325</v>
      </c>
      <c r="B326" t="s">
        <v>145</v>
      </c>
      <c r="C326" t="s">
        <v>9</v>
      </c>
      <c r="D326" t="s">
        <v>29</v>
      </c>
      <c r="E326" t="s">
        <v>22</v>
      </c>
      <c r="F326">
        <v>3</v>
      </c>
      <c r="G326">
        <v>4.2</v>
      </c>
      <c r="H326">
        <v>12.6</v>
      </c>
    </row>
    <row r="327" spans="1:8" x14ac:dyDescent="0.2">
      <c r="A327">
        <v>1326</v>
      </c>
      <c r="B327" t="s">
        <v>182</v>
      </c>
      <c r="C327" t="s">
        <v>9</v>
      </c>
      <c r="D327" t="s">
        <v>29</v>
      </c>
      <c r="E327" t="s">
        <v>22</v>
      </c>
      <c r="F327">
        <v>2</v>
      </c>
      <c r="G327">
        <v>4.2</v>
      </c>
      <c r="H327">
        <v>8.4</v>
      </c>
    </row>
    <row r="328" spans="1:8" x14ac:dyDescent="0.2">
      <c r="A328">
        <v>1327</v>
      </c>
      <c r="B328" t="s">
        <v>174</v>
      </c>
      <c r="C328" t="s">
        <v>28</v>
      </c>
      <c r="D328" t="s">
        <v>17</v>
      </c>
      <c r="E328" t="s">
        <v>18</v>
      </c>
      <c r="F328">
        <v>3</v>
      </c>
      <c r="G328">
        <v>2.5</v>
      </c>
      <c r="H328">
        <v>7.5</v>
      </c>
    </row>
    <row r="329" spans="1:8" x14ac:dyDescent="0.2">
      <c r="A329">
        <v>1328</v>
      </c>
      <c r="B329" t="s">
        <v>65</v>
      </c>
      <c r="C329" t="s">
        <v>9</v>
      </c>
      <c r="D329" t="s">
        <v>31</v>
      </c>
      <c r="E329" t="s">
        <v>32</v>
      </c>
      <c r="F329">
        <v>4</v>
      </c>
      <c r="G329">
        <v>3</v>
      </c>
      <c r="H329">
        <v>12</v>
      </c>
    </row>
    <row r="330" spans="1:8" x14ac:dyDescent="0.2">
      <c r="A330">
        <v>1329</v>
      </c>
      <c r="B330" t="s">
        <v>58</v>
      </c>
      <c r="C330" t="s">
        <v>24</v>
      </c>
      <c r="D330" t="s">
        <v>25</v>
      </c>
      <c r="E330" t="s">
        <v>15</v>
      </c>
      <c r="F330">
        <v>4</v>
      </c>
      <c r="G330">
        <v>2.7</v>
      </c>
      <c r="H330">
        <v>10.8</v>
      </c>
    </row>
    <row r="331" spans="1:8" x14ac:dyDescent="0.2">
      <c r="A331">
        <v>1330</v>
      </c>
      <c r="B331" t="s">
        <v>66</v>
      </c>
      <c r="C331" t="s">
        <v>28</v>
      </c>
      <c r="D331" t="s">
        <v>25</v>
      </c>
      <c r="E331" t="s">
        <v>15</v>
      </c>
      <c r="F331">
        <v>5</v>
      </c>
      <c r="G331">
        <v>2.7</v>
      </c>
      <c r="H331">
        <v>13.5</v>
      </c>
    </row>
    <row r="332" spans="1:8" x14ac:dyDescent="0.2">
      <c r="A332">
        <v>1331</v>
      </c>
      <c r="B332" t="s">
        <v>136</v>
      </c>
      <c r="C332" t="s">
        <v>13</v>
      </c>
      <c r="D332" t="s">
        <v>25</v>
      </c>
      <c r="E332" t="s">
        <v>15</v>
      </c>
      <c r="F332">
        <v>1</v>
      </c>
      <c r="G332">
        <v>2.7</v>
      </c>
      <c r="H332">
        <v>2.7</v>
      </c>
    </row>
    <row r="333" spans="1:8" x14ac:dyDescent="0.2">
      <c r="A333">
        <v>1332</v>
      </c>
      <c r="B333" t="s">
        <v>183</v>
      </c>
      <c r="C333" t="s">
        <v>9</v>
      </c>
      <c r="D333" t="s">
        <v>25</v>
      </c>
      <c r="E333" t="s">
        <v>15</v>
      </c>
      <c r="F333">
        <v>2</v>
      </c>
      <c r="G333">
        <v>2.7</v>
      </c>
      <c r="H333">
        <v>5.4</v>
      </c>
    </row>
    <row r="334" spans="1:8" x14ac:dyDescent="0.2">
      <c r="A334">
        <v>1333</v>
      </c>
      <c r="B334" t="s">
        <v>162</v>
      </c>
      <c r="C334" t="s">
        <v>13</v>
      </c>
      <c r="D334" t="s">
        <v>31</v>
      </c>
      <c r="E334" t="s">
        <v>32</v>
      </c>
      <c r="F334">
        <v>5</v>
      </c>
      <c r="G334">
        <v>3</v>
      </c>
      <c r="H334">
        <v>15</v>
      </c>
    </row>
    <row r="335" spans="1:8" x14ac:dyDescent="0.2">
      <c r="A335">
        <v>1334</v>
      </c>
      <c r="B335" t="s">
        <v>141</v>
      </c>
      <c r="C335" t="s">
        <v>24</v>
      </c>
      <c r="D335" t="s">
        <v>47</v>
      </c>
      <c r="E335" t="s">
        <v>32</v>
      </c>
      <c r="F335">
        <v>2</v>
      </c>
      <c r="G335">
        <v>2.4</v>
      </c>
      <c r="H335">
        <v>4.8</v>
      </c>
    </row>
    <row r="336" spans="1:8" x14ac:dyDescent="0.2">
      <c r="A336">
        <v>1335</v>
      </c>
      <c r="B336" t="s">
        <v>121</v>
      </c>
      <c r="C336" t="s">
        <v>9</v>
      </c>
      <c r="D336" t="s">
        <v>43</v>
      </c>
      <c r="E336" t="s">
        <v>18</v>
      </c>
      <c r="F336">
        <v>2</v>
      </c>
      <c r="G336">
        <v>3.8</v>
      </c>
      <c r="H336">
        <v>7.6</v>
      </c>
    </row>
    <row r="337" spans="1:8" x14ac:dyDescent="0.2">
      <c r="A337">
        <v>1336</v>
      </c>
      <c r="B337" t="s">
        <v>37</v>
      </c>
      <c r="C337" t="s">
        <v>28</v>
      </c>
      <c r="D337" t="s">
        <v>31</v>
      </c>
      <c r="E337" t="s">
        <v>32</v>
      </c>
      <c r="F337">
        <v>5</v>
      </c>
      <c r="G337">
        <v>3</v>
      </c>
      <c r="H337">
        <v>15</v>
      </c>
    </row>
    <row r="338" spans="1:8" x14ac:dyDescent="0.2">
      <c r="A338">
        <v>1337</v>
      </c>
      <c r="B338" t="s">
        <v>177</v>
      </c>
      <c r="C338" t="s">
        <v>13</v>
      </c>
      <c r="D338" t="s">
        <v>21</v>
      </c>
      <c r="E338" t="s">
        <v>22</v>
      </c>
      <c r="F338">
        <v>3</v>
      </c>
      <c r="G338">
        <v>6.5</v>
      </c>
      <c r="H338">
        <v>19.5</v>
      </c>
    </row>
    <row r="339" spans="1:8" x14ac:dyDescent="0.2">
      <c r="A339">
        <v>1338</v>
      </c>
      <c r="B339" t="s">
        <v>170</v>
      </c>
      <c r="C339" t="s">
        <v>13</v>
      </c>
      <c r="D339" t="s">
        <v>14</v>
      </c>
      <c r="E339" t="s">
        <v>15</v>
      </c>
      <c r="F339">
        <v>3</v>
      </c>
      <c r="G339">
        <v>2</v>
      </c>
      <c r="H339">
        <v>6</v>
      </c>
    </row>
    <row r="340" spans="1:8" x14ac:dyDescent="0.2">
      <c r="A340">
        <v>1339</v>
      </c>
      <c r="B340" t="s">
        <v>150</v>
      </c>
      <c r="C340" t="s">
        <v>9</v>
      </c>
      <c r="D340" t="s">
        <v>10</v>
      </c>
      <c r="E340" t="s">
        <v>11</v>
      </c>
      <c r="F340">
        <v>2</v>
      </c>
      <c r="G340">
        <v>3.2</v>
      </c>
      <c r="H340">
        <v>6.4</v>
      </c>
    </row>
    <row r="341" spans="1:8" x14ac:dyDescent="0.2">
      <c r="A341">
        <v>1340</v>
      </c>
      <c r="B341" t="s">
        <v>177</v>
      </c>
      <c r="C341" t="s">
        <v>24</v>
      </c>
      <c r="D341" t="s">
        <v>14</v>
      </c>
      <c r="E341" t="s">
        <v>15</v>
      </c>
      <c r="F341">
        <v>4</v>
      </c>
      <c r="G341">
        <v>2</v>
      </c>
      <c r="H341">
        <v>8</v>
      </c>
    </row>
    <row r="342" spans="1:8" x14ac:dyDescent="0.2">
      <c r="A342">
        <v>1341</v>
      </c>
      <c r="B342" t="s">
        <v>72</v>
      </c>
      <c r="C342" t="s">
        <v>24</v>
      </c>
      <c r="D342" t="s">
        <v>21</v>
      </c>
      <c r="E342" t="s">
        <v>22</v>
      </c>
      <c r="F342">
        <v>4</v>
      </c>
      <c r="G342">
        <v>6.5</v>
      </c>
      <c r="H342">
        <v>26</v>
      </c>
    </row>
    <row r="343" spans="1:8" x14ac:dyDescent="0.2">
      <c r="A343">
        <v>1342</v>
      </c>
      <c r="B343" t="s">
        <v>62</v>
      </c>
      <c r="C343" t="s">
        <v>24</v>
      </c>
      <c r="D343" t="s">
        <v>10</v>
      </c>
      <c r="E343" t="s">
        <v>11</v>
      </c>
      <c r="F343">
        <v>2</v>
      </c>
      <c r="G343">
        <v>3.2</v>
      </c>
      <c r="H343">
        <v>6.4</v>
      </c>
    </row>
    <row r="344" spans="1:8" x14ac:dyDescent="0.2">
      <c r="A344">
        <v>1343</v>
      </c>
      <c r="B344" t="s">
        <v>97</v>
      </c>
      <c r="C344" t="s">
        <v>24</v>
      </c>
      <c r="D344" t="s">
        <v>10</v>
      </c>
      <c r="E344" t="s">
        <v>11</v>
      </c>
      <c r="F344">
        <v>4</v>
      </c>
      <c r="G344">
        <v>3.2</v>
      </c>
      <c r="H344">
        <v>12.8</v>
      </c>
    </row>
    <row r="345" spans="1:8" x14ac:dyDescent="0.2">
      <c r="A345">
        <v>1344</v>
      </c>
      <c r="B345" t="s">
        <v>119</v>
      </c>
      <c r="C345" t="s">
        <v>28</v>
      </c>
      <c r="D345" t="s">
        <v>10</v>
      </c>
      <c r="E345" t="s">
        <v>11</v>
      </c>
      <c r="F345">
        <v>4</v>
      </c>
      <c r="G345">
        <v>3.2</v>
      </c>
      <c r="H345">
        <v>12.8</v>
      </c>
    </row>
    <row r="346" spans="1:8" x14ac:dyDescent="0.2">
      <c r="A346">
        <v>1345</v>
      </c>
      <c r="B346" t="s">
        <v>184</v>
      </c>
      <c r="C346" t="s">
        <v>24</v>
      </c>
      <c r="D346" t="s">
        <v>34</v>
      </c>
      <c r="E346" t="s">
        <v>11</v>
      </c>
      <c r="F346">
        <v>3</v>
      </c>
      <c r="G346">
        <v>2.1</v>
      </c>
      <c r="H346">
        <v>6.3</v>
      </c>
    </row>
    <row r="347" spans="1:8" x14ac:dyDescent="0.2">
      <c r="A347">
        <v>1346</v>
      </c>
      <c r="B347" t="s">
        <v>60</v>
      </c>
      <c r="C347" t="s">
        <v>28</v>
      </c>
      <c r="D347" t="s">
        <v>14</v>
      </c>
      <c r="E347" t="s">
        <v>15</v>
      </c>
      <c r="F347">
        <v>6</v>
      </c>
      <c r="G347">
        <v>2</v>
      </c>
      <c r="H347">
        <v>12</v>
      </c>
    </row>
    <row r="348" spans="1:8" x14ac:dyDescent="0.2">
      <c r="A348">
        <v>1347</v>
      </c>
      <c r="B348" t="s">
        <v>49</v>
      </c>
      <c r="C348" t="s">
        <v>9</v>
      </c>
      <c r="D348" t="s">
        <v>10</v>
      </c>
      <c r="E348" t="s">
        <v>11</v>
      </c>
      <c r="F348">
        <v>1</v>
      </c>
      <c r="G348">
        <v>3.2</v>
      </c>
      <c r="H348">
        <v>3.2</v>
      </c>
    </row>
    <row r="349" spans="1:8" x14ac:dyDescent="0.2">
      <c r="A349">
        <v>1348</v>
      </c>
      <c r="B349" t="s">
        <v>8</v>
      </c>
      <c r="C349" t="s">
        <v>13</v>
      </c>
      <c r="D349" t="s">
        <v>34</v>
      </c>
      <c r="E349" t="s">
        <v>11</v>
      </c>
      <c r="F349">
        <v>3</v>
      </c>
      <c r="G349">
        <v>2.1</v>
      </c>
      <c r="H349">
        <v>6.3</v>
      </c>
    </row>
    <row r="350" spans="1:8" x14ac:dyDescent="0.2">
      <c r="A350">
        <v>1349</v>
      </c>
      <c r="B350" t="s">
        <v>176</v>
      </c>
      <c r="C350" t="s">
        <v>28</v>
      </c>
      <c r="D350" t="s">
        <v>21</v>
      </c>
      <c r="E350" t="s">
        <v>22</v>
      </c>
      <c r="F350">
        <v>4</v>
      </c>
      <c r="G350">
        <v>6.5</v>
      </c>
      <c r="H350">
        <v>26</v>
      </c>
    </row>
    <row r="351" spans="1:8" x14ac:dyDescent="0.2">
      <c r="A351">
        <v>1350</v>
      </c>
      <c r="B351" t="s">
        <v>107</v>
      </c>
      <c r="C351" t="s">
        <v>28</v>
      </c>
      <c r="D351" t="s">
        <v>43</v>
      </c>
      <c r="E351" t="s">
        <v>18</v>
      </c>
      <c r="F351">
        <v>5</v>
      </c>
      <c r="G351">
        <v>3.8</v>
      </c>
      <c r="H351">
        <v>19</v>
      </c>
    </row>
    <row r="352" spans="1:8" x14ac:dyDescent="0.2">
      <c r="A352">
        <v>1351</v>
      </c>
      <c r="B352" t="s">
        <v>86</v>
      </c>
      <c r="C352" t="s">
        <v>24</v>
      </c>
      <c r="D352" t="s">
        <v>17</v>
      </c>
      <c r="E352" t="s">
        <v>18</v>
      </c>
      <c r="F352">
        <v>3</v>
      </c>
      <c r="G352">
        <v>2.5</v>
      </c>
      <c r="H352">
        <v>7.5</v>
      </c>
    </row>
    <row r="353" spans="1:8" x14ac:dyDescent="0.2">
      <c r="A353">
        <v>1352</v>
      </c>
      <c r="B353" t="s">
        <v>96</v>
      </c>
      <c r="C353" t="s">
        <v>13</v>
      </c>
      <c r="D353" t="s">
        <v>31</v>
      </c>
      <c r="E353" t="s">
        <v>32</v>
      </c>
      <c r="F353">
        <v>1</v>
      </c>
      <c r="G353">
        <v>3</v>
      </c>
      <c r="H353">
        <v>3</v>
      </c>
    </row>
    <row r="354" spans="1:8" x14ac:dyDescent="0.2">
      <c r="A354">
        <v>1353</v>
      </c>
      <c r="B354" t="s">
        <v>86</v>
      </c>
      <c r="C354" t="s">
        <v>28</v>
      </c>
      <c r="D354" t="s">
        <v>10</v>
      </c>
      <c r="E354" t="s">
        <v>11</v>
      </c>
      <c r="F354">
        <v>3</v>
      </c>
      <c r="G354">
        <v>3.2</v>
      </c>
      <c r="H354">
        <v>9.6</v>
      </c>
    </row>
    <row r="355" spans="1:8" x14ac:dyDescent="0.2">
      <c r="A355">
        <v>1354</v>
      </c>
      <c r="B355" t="s">
        <v>185</v>
      </c>
      <c r="C355" t="s">
        <v>13</v>
      </c>
      <c r="D355" t="s">
        <v>31</v>
      </c>
      <c r="E355" t="s">
        <v>32</v>
      </c>
      <c r="F355">
        <v>1</v>
      </c>
      <c r="G355">
        <v>3</v>
      </c>
      <c r="H355">
        <v>3</v>
      </c>
    </row>
    <row r="356" spans="1:8" x14ac:dyDescent="0.2">
      <c r="A356">
        <v>1355</v>
      </c>
      <c r="B356" t="s">
        <v>186</v>
      </c>
      <c r="C356" t="s">
        <v>24</v>
      </c>
      <c r="D356" t="s">
        <v>21</v>
      </c>
      <c r="E356" t="s">
        <v>22</v>
      </c>
      <c r="F356">
        <v>3</v>
      </c>
      <c r="G356">
        <v>6.5</v>
      </c>
      <c r="H356">
        <v>19.5</v>
      </c>
    </row>
    <row r="357" spans="1:8" x14ac:dyDescent="0.2">
      <c r="A357">
        <v>1356</v>
      </c>
      <c r="B357" t="s">
        <v>61</v>
      </c>
      <c r="C357" t="s">
        <v>9</v>
      </c>
      <c r="D357" t="s">
        <v>25</v>
      </c>
      <c r="E357" t="s">
        <v>15</v>
      </c>
      <c r="F357">
        <v>5</v>
      </c>
      <c r="G357">
        <v>2.7</v>
      </c>
      <c r="H357">
        <v>13.5</v>
      </c>
    </row>
    <row r="358" spans="1:8" x14ac:dyDescent="0.2">
      <c r="A358">
        <v>1357</v>
      </c>
      <c r="B358" t="s">
        <v>187</v>
      </c>
      <c r="C358" t="s">
        <v>13</v>
      </c>
      <c r="D358" t="s">
        <v>10</v>
      </c>
      <c r="E358" t="s">
        <v>11</v>
      </c>
      <c r="F358">
        <v>5</v>
      </c>
      <c r="G358">
        <v>3.2</v>
      </c>
      <c r="H358">
        <v>16</v>
      </c>
    </row>
    <row r="359" spans="1:8" x14ac:dyDescent="0.2">
      <c r="A359">
        <v>1358</v>
      </c>
      <c r="B359" t="s">
        <v>117</v>
      </c>
      <c r="C359" t="s">
        <v>24</v>
      </c>
      <c r="D359" t="s">
        <v>34</v>
      </c>
      <c r="E359" t="s">
        <v>11</v>
      </c>
      <c r="F359">
        <v>6</v>
      </c>
      <c r="G359">
        <v>2.1</v>
      </c>
      <c r="H359">
        <v>12.6</v>
      </c>
    </row>
    <row r="360" spans="1:8" x14ac:dyDescent="0.2">
      <c r="A360">
        <v>1359</v>
      </c>
      <c r="B360" t="s">
        <v>53</v>
      </c>
      <c r="C360" t="s">
        <v>9</v>
      </c>
      <c r="D360" t="s">
        <v>34</v>
      </c>
      <c r="E360" t="s">
        <v>11</v>
      </c>
      <c r="F360">
        <v>6</v>
      </c>
      <c r="G360">
        <v>2.1</v>
      </c>
      <c r="H360">
        <v>12.6</v>
      </c>
    </row>
    <row r="361" spans="1:8" x14ac:dyDescent="0.2">
      <c r="A361">
        <v>1360</v>
      </c>
      <c r="B361" t="s">
        <v>36</v>
      </c>
      <c r="C361" t="s">
        <v>28</v>
      </c>
      <c r="D361" t="s">
        <v>25</v>
      </c>
      <c r="E361" t="s">
        <v>15</v>
      </c>
      <c r="F361">
        <v>1</v>
      </c>
      <c r="G361">
        <v>2.7</v>
      </c>
      <c r="H361">
        <v>2.7</v>
      </c>
    </row>
    <row r="362" spans="1:8" x14ac:dyDescent="0.2">
      <c r="A362">
        <v>1361</v>
      </c>
      <c r="B362" t="s">
        <v>106</v>
      </c>
      <c r="C362" t="s">
        <v>28</v>
      </c>
      <c r="D362" t="s">
        <v>47</v>
      </c>
      <c r="E362" t="s">
        <v>32</v>
      </c>
      <c r="F362">
        <v>5</v>
      </c>
      <c r="G362">
        <v>2.4</v>
      </c>
      <c r="H362">
        <v>12</v>
      </c>
    </row>
    <row r="363" spans="1:8" x14ac:dyDescent="0.2">
      <c r="A363">
        <v>1362</v>
      </c>
      <c r="B363" t="s">
        <v>117</v>
      </c>
      <c r="C363" t="s">
        <v>24</v>
      </c>
      <c r="D363" t="s">
        <v>34</v>
      </c>
      <c r="E363" t="s">
        <v>11</v>
      </c>
      <c r="F363">
        <v>4</v>
      </c>
      <c r="G363">
        <v>2.1</v>
      </c>
      <c r="H363">
        <v>8.4</v>
      </c>
    </row>
    <row r="364" spans="1:8" x14ac:dyDescent="0.2">
      <c r="A364">
        <v>1363</v>
      </c>
      <c r="B364" t="s">
        <v>91</v>
      </c>
      <c r="C364" t="s">
        <v>13</v>
      </c>
      <c r="D364" t="s">
        <v>10</v>
      </c>
      <c r="E364" t="s">
        <v>11</v>
      </c>
      <c r="F364">
        <v>1</v>
      </c>
      <c r="G364">
        <v>3.2</v>
      </c>
      <c r="H364">
        <v>3.2</v>
      </c>
    </row>
    <row r="365" spans="1:8" x14ac:dyDescent="0.2">
      <c r="A365">
        <v>1364</v>
      </c>
      <c r="B365" t="s">
        <v>106</v>
      </c>
      <c r="C365" t="s">
        <v>24</v>
      </c>
      <c r="D365" t="s">
        <v>29</v>
      </c>
      <c r="E365" t="s">
        <v>22</v>
      </c>
      <c r="F365">
        <v>6</v>
      </c>
      <c r="G365">
        <v>4.2</v>
      </c>
      <c r="H365">
        <v>25.2</v>
      </c>
    </row>
    <row r="366" spans="1:8" x14ac:dyDescent="0.2">
      <c r="A366">
        <v>1365</v>
      </c>
      <c r="B366" t="s">
        <v>74</v>
      </c>
      <c r="C366" t="s">
        <v>13</v>
      </c>
      <c r="D366" t="s">
        <v>31</v>
      </c>
      <c r="E366" t="s">
        <v>32</v>
      </c>
      <c r="F366">
        <v>6</v>
      </c>
      <c r="G366">
        <v>3</v>
      </c>
      <c r="H366">
        <v>18</v>
      </c>
    </row>
    <row r="367" spans="1:8" x14ac:dyDescent="0.2">
      <c r="A367">
        <v>1366</v>
      </c>
      <c r="B367" t="s">
        <v>50</v>
      </c>
      <c r="C367" t="s">
        <v>13</v>
      </c>
      <c r="D367" t="s">
        <v>25</v>
      </c>
      <c r="E367" t="s">
        <v>15</v>
      </c>
      <c r="F367">
        <v>2</v>
      </c>
      <c r="G367">
        <v>2.7</v>
      </c>
      <c r="H367">
        <v>5.4</v>
      </c>
    </row>
    <row r="368" spans="1:8" x14ac:dyDescent="0.2">
      <c r="A368">
        <v>1367</v>
      </c>
      <c r="B368" t="s">
        <v>132</v>
      </c>
      <c r="C368" t="s">
        <v>13</v>
      </c>
      <c r="D368" t="s">
        <v>29</v>
      </c>
      <c r="E368" t="s">
        <v>22</v>
      </c>
      <c r="F368">
        <v>4</v>
      </c>
      <c r="G368">
        <v>4.2</v>
      </c>
      <c r="H368">
        <v>16.8</v>
      </c>
    </row>
    <row r="369" spans="1:8" x14ac:dyDescent="0.2">
      <c r="A369">
        <v>1368</v>
      </c>
      <c r="B369" t="s">
        <v>90</v>
      </c>
      <c r="C369" t="s">
        <v>9</v>
      </c>
      <c r="D369" t="s">
        <v>14</v>
      </c>
      <c r="E369" t="s">
        <v>15</v>
      </c>
      <c r="F369">
        <v>1</v>
      </c>
      <c r="G369">
        <v>2</v>
      </c>
      <c r="H369">
        <v>2</v>
      </c>
    </row>
    <row r="370" spans="1:8" x14ac:dyDescent="0.2">
      <c r="A370">
        <v>1369</v>
      </c>
      <c r="B370" t="s">
        <v>69</v>
      </c>
      <c r="C370" t="s">
        <v>24</v>
      </c>
      <c r="D370" t="s">
        <v>31</v>
      </c>
      <c r="E370" t="s">
        <v>32</v>
      </c>
      <c r="F370">
        <v>6</v>
      </c>
      <c r="G370">
        <v>3</v>
      </c>
      <c r="H370">
        <v>18</v>
      </c>
    </row>
    <row r="371" spans="1:8" x14ac:dyDescent="0.2">
      <c r="A371">
        <v>1370</v>
      </c>
      <c r="B371" t="s">
        <v>171</v>
      </c>
      <c r="C371" t="s">
        <v>9</v>
      </c>
      <c r="D371" t="s">
        <v>47</v>
      </c>
      <c r="E371" t="s">
        <v>32</v>
      </c>
      <c r="F371">
        <v>1</v>
      </c>
      <c r="G371">
        <v>2.4</v>
      </c>
      <c r="H371">
        <v>2.4</v>
      </c>
    </row>
    <row r="372" spans="1:8" x14ac:dyDescent="0.2">
      <c r="A372">
        <v>1371</v>
      </c>
      <c r="B372" t="s">
        <v>72</v>
      </c>
      <c r="C372" t="s">
        <v>28</v>
      </c>
      <c r="D372" t="s">
        <v>31</v>
      </c>
      <c r="E372" t="s">
        <v>32</v>
      </c>
      <c r="F372">
        <v>5</v>
      </c>
      <c r="G372">
        <v>3</v>
      </c>
      <c r="H372">
        <v>15</v>
      </c>
    </row>
    <row r="373" spans="1:8" x14ac:dyDescent="0.2">
      <c r="A373">
        <v>1372</v>
      </c>
      <c r="B373" t="s">
        <v>93</v>
      </c>
      <c r="C373" t="s">
        <v>9</v>
      </c>
      <c r="D373" t="s">
        <v>10</v>
      </c>
      <c r="E373" t="s">
        <v>11</v>
      </c>
      <c r="F373">
        <v>3</v>
      </c>
      <c r="G373">
        <v>3.2</v>
      </c>
      <c r="H373">
        <v>9.6</v>
      </c>
    </row>
    <row r="374" spans="1:8" x14ac:dyDescent="0.2">
      <c r="A374">
        <v>1373</v>
      </c>
      <c r="B374" t="s">
        <v>76</v>
      </c>
      <c r="C374" t="s">
        <v>24</v>
      </c>
      <c r="D374" t="s">
        <v>31</v>
      </c>
      <c r="E374" t="s">
        <v>32</v>
      </c>
      <c r="F374">
        <v>5</v>
      </c>
      <c r="G374">
        <v>3</v>
      </c>
      <c r="H374">
        <v>15</v>
      </c>
    </row>
    <row r="375" spans="1:8" x14ac:dyDescent="0.2">
      <c r="A375">
        <v>1374</v>
      </c>
      <c r="B375" t="s">
        <v>58</v>
      </c>
      <c r="C375" t="s">
        <v>28</v>
      </c>
      <c r="D375" t="s">
        <v>25</v>
      </c>
      <c r="E375" t="s">
        <v>15</v>
      </c>
      <c r="F375">
        <v>1</v>
      </c>
      <c r="G375">
        <v>2.7</v>
      </c>
      <c r="H375">
        <v>2.7</v>
      </c>
    </row>
    <row r="376" spans="1:8" x14ac:dyDescent="0.2">
      <c r="A376">
        <v>1375</v>
      </c>
      <c r="B376" t="s">
        <v>76</v>
      </c>
      <c r="C376" t="s">
        <v>24</v>
      </c>
      <c r="D376" t="s">
        <v>10</v>
      </c>
      <c r="E376" t="s">
        <v>11</v>
      </c>
      <c r="F376">
        <v>3</v>
      </c>
      <c r="G376">
        <v>3.2</v>
      </c>
      <c r="H376">
        <v>9.6</v>
      </c>
    </row>
    <row r="377" spans="1:8" x14ac:dyDescent="0.2">
      <c r="A377">
        <v>1376</v>
      </c>
      <c r="B377" t="s">
        <v>185</v>
      </c>
      <c r="C377" t="s">
        <v>9</v>
      </c>
      <c r="D377" t="s">
        <v>47</v>
      </c>
      <c r="E377" t="s">
        <v>32</v>
      </c>
      <c r="F377">
        <v>3</v>
      </c>
      <c r="G377">
        <v>2.4</v>
      </c>
      <c r="H377">
        <v>7.2</v>
      </c>
    </row>
    <row r="378" spans="1:8" x14ac:dyDescent="0.2">
      <c r="A378">
        <v>1377</v>
      </c>
      <c r="B378" t="s">
        <v>121</v>
      </c>
      <c r="C378" t="s">
        <v>9</v>
      </c>
      <c r="D378" t="s">
        <v>34</v>
      </c>
      <c r="E378" t="s">
        <v>11</v>
      </c>
      <c r="F378">
        <v>1</v>
      </c>
      <c r="G378">
        <v>2.1</v>
      </c>
      <c r="H378">
        <v>2.1</v>
      </c>
    </row>
    <row r="379" spans="1:8" x14ac:dyDescent="0.2">
      <c r="A379">
        <v>1378</v>
      </c>
      <c r="B379" t="s">
        <v>132</v>
      </c>
      <c r="C379" t="s">
        <v>28</v>
      </c>
      <c r="D379" t="s">
        <v>14</v>
      </c>
      <c r="E379" t="s">
        <v>15</v>
      </c>
      <c r="F379">
        <v>6</v>
      </c>
      <c r="G379">
        <v>2</v>
      </c>
      <c r="H379">
        <v>12</v>
      </c>
    </row>
    <row r="380" spans="1:8" x14ac:dyDescent="0.2">
      <c r="A380">
        <v>1379</v>
      </c>
      <c r="B380" t="s">
        <v>186</v>
      </c>
      <c r="C380" t="s">
        <v>24</v>
      </c>
      <c r="D380" t="s">
        <v>17</v>
      </c>
      <c r="E380" t="s">
        <v>18</v>
      </c>
      <c r="F380">
        <v>6</v>
      </c>
      <c r="G380">
        <v>2.5</v>
      </c>
      <c r="H380">
        <v>15</v>
      </c>
    </row>
    <row r="381" spans="1:8" x14ac:dyDescent="0.2">
      <c r="A381">
        <v>1380</v>
      </c>
      <c r="B381" t="s">
        <v>108</v>
      </c>
      <c r="C381" t="s">
        <v>28</v>
      </c>
      <c r="D381" t="s">
        <v>34</v>
      </c>
      <c r="E381" t="s">
        <v>11</v>
      </c>
      <c r="F381">
        <v>5</v>
      </c>
      <c r="G381">
        <v>2.1</v>
      </c>
      <c r="H381">
        <v>10.5</v>
      </c>
    </row>
    <row r="382" spans="1:8" x14ac:dyDescent="0.2">
      <c r="A382">
        <v>1381</v>
      </c>
      <c r="B382" t="s">
        <v>162</v>
      </c>
      <c r="C382" t="s">
        <v>13</v>
      </c>
      <c r="D382" t="s">
        <v>43</v>
      </c>
      <c r="E382" t="s">
        <v>18</v>
      </c>
      <c r="F382">
        <v>2</v>
      </c>
      <c r="G382">
        <v>3.8</v>
      </c>
      <c r="H382">
        <v>7.6</v>
      </c>
    </row>
    <row r="383" spans="1:8" x14ac:dyDescent="0.2">
      <c r="A383">
        <v>1382</v>
      </c>
      <c r="B383" t="s">
        <v>139</v>
      </c>
      <c r="C383" t="s">
        <v>24</v>
      </c>
      <c r="D383" t="s">
        <v>10</v>
      </c>
      <c r="E383" t="s">
        <v>11</v>
      </c>
      <c r="F383">
        <v>5</v>
      </c>
      <c r="G383">
        <v>3.2</v>
      </c>
      <c r="H383">
        <v>16</v>
      </c>
    </row>
    <row r="384" spans="1:8" x14ac:dyDescent="0.2">
      <c r="A384">
        <v>1383</v>
      </c>
      <c r="B384" t="s">
        <v>53</v>
      </c>
      <c r="C384" t="s">
        <v>13</v>
      </c>
      <c r="D384" t="s">
        <v>25</v>
      </c>
      <c r="E384" t="s">
        <v>15</v>
      </c>
      <c r="F384">
        <v>4</v>
      </c>
      <c r="G384">
        <v>2.7</v>
      </c>
      <c r="H384">
        <v>10.8</v>
      </c>
    </row>
    <row r="385" spans="1:8" x14ac:dyDescent="0.2">
      <c r="A385">
        <v>1384</v>
      </c>
      <c r="B385" t="s">
        <v>92</v>
      </c>
      <c r="C385" t="s">
        <v>9</v>
      </c>
      <c r="D385" t="s">
        <v>21</v>
      </c>
      <c r="E385" t="s">
        <v>22</v>
      </c>
      <c r="F385">
        <v>2</v>
      </c>
      <c r="G385">
        <v>6.5</v>
      </c>
      <c r="H385">
        <v>13</v>
      </c>
    </row>
    <row r="386" spans="1:8" x14ac:dyDescent="0.2">
      <c r="A386">
        <v>1385</v>
      </c>
      <c r="B386" t="s">
        <v>90</v>
      </c>
      <c r="C386" t="s">
        <v>13</v>
      </c>
      <c r="D386" t="s">
        <v>31</v>
      </c>
      <c r="E386" t="s">
        <v>32</v>
      </c>
      <c r="F386">
        <v>2</v>
      </c>
      <c r="G386">
        <v>3</v>
      </c>
      <c r="H386">
        <v>6</v>
      </c>
    </row>
    <row r="387" spans="1:8" x14ac:dyDescent="0.2">
      <c r="A387">
        <v>1386</v>
      </c>
      <c r="B387" t="s">
        <v>108</v>
      </c>
      <c r="C387" t="s">
        <v>28</v>
      </c>
      <c r="D387" t="s">
        <v>14</v>
      </c>
      <c r="E387" t="s">
        <v>15</v>
      </c>
      <c r="F387">
        <v>5</v>
      </c>
      <c r="G387">
        <v>2</v>
      </c>
      <c r="H387">
        <v>10</v>
      </c>
    </row>
    <row r="388" spans="1:8" x14ac:dyDescent="0.2">
      <c r="A388">
        <v>1387</v>
      </c>
      <c r="B388" t="s">
        <v>101</v>
      </c>
      <c r="C388" t="s">
        <v>9</v>
      </c>
      <c r="D388" t="s">
        <v>14</v>
      </c>
      <c r="E388" t="s">
        <v>15</v>
      </c>
      <c r="F388">
        <v>4</v>
      </c>
      <c r="G388">
        <v>2</v>
      </c>
      <c r="H388">
        <v>8</v>
      </c>
    </row>
    <row r="389" spans="1:8" x14ac:dyDescent="0.2">
      <c r="A389">
        <v>1388</v>
      </c>
      <c r="B389" t="s">
        <v>79</v>
      </c>
      <c r="C389" t="s">
        <v>9</v>
      </c>
      <c r="D389" t="s">
        <v>29</v>
      </c>
      <c r="E389" t="s">
        <v>22</v>
      </c>
      <c r="F389">
        <v>6</v>
      </c>
      <c r="G389">
        <v>4.2</v>
      </c>
      <c r="H389">
        <v>25.2</v>
      </c>
    </row>
    <row r="390" spans="1:8" x14ac:dyDescent="0.2">
      <c r="A390">
        <v>1389</v>
      </c>
      <c r="B390" t="s">
        <v>139</v>
      </c>
      <c r="C390" t="s">
        <v>24</v>
      </c>
      <c r="D390" t="s">
        <v>43</v>
      </c>
      <c r="E390" t="s">
        <v>18</v>
      </c>
      <c r="F390">
        <v>5</v>
      </c>
      <c r="G390">
        <v>3.8</v>
      </c>
      <c r="H390">
        <v>19</v>
      </c>
    </row>
    <row r="391" spans="1:8" x14ac:dyDescent="0.2">
      <c r="A391">
        <v>1390</v>
      </c>
      <c r="B391" t="s">
        <v>142</v>
      </c>
      <c r="C391" t="s">
        <v>9</v>
      </c>
      <c r="D391" t="s">
        <v>21</v>
      </c>
      <c r="E391" t="s">
        <v>22</v>
      </c>
      <c r="F391">
        <v>5</v>
      </c>
      <c r="G391">
        <v>6.5</v>
      </c>
      <c r="H391">
        <v>32.5</v>
      </c>
    </row>
    <row r="392" spans="1:8" x14ac:dyDescent="0.2">
      <c r="A392">
        <v>1391</v>
      </c>
      <c r="B392" t="s">
        <v>188</v>
      </c>
      <c r="C392" t="s">
        <v>24</v>
      </c>
      <c r="D392" t="s">
        <v>10</v>
      </c>
      <c r="E392" t="s">
        <v>11</v>
      </c>
      <c r="F392">
        <v>6</v>
      </c>
      <c r="G392">
        <v>3.2</v>
      </c>
      <c r="H392">
        <v>19.2</v>
      </c>
    </row>
    <row r="393" spans="1:8" x14ac:dyDescent="0.2">
      <c r="A393">
        <v>1392</v>
      </c>
      <c r="B393" t="s">
        <v>155</v>
      </c>
      <c r="C393" t="s">
        <v>28</v>
      </c>
      <c r="D393" t="s">
        <v>29</v>
      </c>
      <c r="E393" t="s">
        <v>22</v>
      </c>
      <c r="F393">
        <v>5</v>
      </c>
      <c r="G393">
        <v>4.2</v>
      </c>
      <c r="H393">
        <v>21</v>
      </c>
    </row>
    <row r="394" spans="1:8" x14ac:dyDescent="0.2">
      <c r="A394">
        <v>1393</v>
      </c>
      <c r="B394" t="s">
        <v>189</v>
      </c>
      <c r="C394" t="s">
        <v>24</v>
      </c>
      <c r="D394" t="s">
        <v>14</v>
      </c>
      <c r="E394" t="s">
        <v>15</v>
      </c>
      <c r="F394">
        <v>6</v>
      </c>
      <c r="G394">
        <v>2</v>
      </c>
      <c r="H394">
        <v>12</v>
      </c>
    </row>
    <row r="395" spans="1:8" x14ac:dyDescent="0.2">
      <c r="A395">
        <v>1394</v>
      </c>
      <c r="B395" t="s">
        <v>178</v>
      </c>
      <c r="C395" t="s">
        <v>24</v>
      </c>
      <c r="D395" t="s">
        <v>43</v>
      </c>
      <c r="E395" t="s">
        <v>18</v>
      </c>
      <c r="F395">
        <v>1</v>
      </c>
      <c r="G395">
        <v>3.8</v>
      </c>
      <c r="H395">
        <v>3.8</v>
      </c>
    </row>
    <row r="396" spans="1:8" x14ac:dyDescent="0.2">
      <c r="A396">
        <v>1395</v>
      </c>
      <c r="B396" t="s">
        <v>159</v>
      </c>
      <c r="C396" t="s">
        <v>24</v>
      </c>
      <c r="D396" t="s">
        <v>25</v>
      </c>
      <c r="E396" t="s">
        <v>15</v>
      </c>
      <c r="F396">
        <v>1</v>
      </c>
      <c r="G396">
        <v>2.7</v>
      </c>
      <c r="H396">
        <v>2.7</v>
      </c>
    </row>
    <row r="397" spans="1:8" x14ac:dyDescent="0.2">
      <c r="A397">
        <v>1396</v>
      </c>
      <c r="B397" t="s">
        <v>49</v>
      </c>
      <c r="C397" t="s">
        <v>28</v>
      </c>
      <c r="D397" t="s">
        <v>29</v>
      </c>
      <c r="E397" t="s">
        <v>22</v>
      </c>
      <c r="F397">
        <v>5</v>
      </c>
      <c r="G397">
        <v>4.2</v>
      </c>
      <c r="H397">
        <v>21</v>
      </c>
    </row>
    <row r="398" spans="1:8" x14ac:dyDescent="0.2">
      <c r="A398">
        <v>1397</v>
      </c>
      <c r="B398" t="s">
        <v>114</v>
      </c>
      <c r="C398" t="s">
        <v>24</v>
      </c>
      <c r="D398" t="s">
        <v>29</v>
      </c>
      <c r="E398" t="s">
        <v>22</v>
      </c>
      <c r="F398">
        <v>3</v>
      </c>
      <c r="G398">
        <v>4.2</v>
      </c>
      <c r="H398">
        <v>12.6</v>
      </c>
    </row>
    <row r="399" spans="1:8" x14ac:dyDescent="0.2">
      <c r="A399">
        <v>1398</v>
      </c>
      <c r="B399" t="s">
        <v>73</v>
      </c>
      <c r="C399" t="s">
        <v>9</v>
      </c>
      <c r="D399" t="s">
        <v>47</v>
      </c>
      <c r="E399" t="s">
        <v>32</v>
      </c>
      <c r="F399">
        <v>1</v>
      </c>
      <c r="G399">
        <v>2.4</v>
      </c>
      <c r="H399">
        <v>2.4</v>
      </c>
    </row>
    <row r="400" spans="1:8" x14ac:dyDescent="0.2">
      <c r="A400">
        <v>1399</v>
      </c>
      <c r="B400" t="s">
        <v>56</v>
      </c>
      <c r="C400" t="s">
        <v>9</v>
      </c>
      <c r="D400" t="s">
        <v>10</v>
      </c>
      <c r="E400" t="s">
        <v>11</v>
      </c>
      <c r="F400">
        <v>4</v>
      </c>
      <c r="G400">
        <v>3.2</v>
      </c>
      <c r="H400">
        <v>12.8</v>
      </c>
    </row>
    <row r="401" spans="1:8" x14ac:dyDescent="0.2">
      <c r="A401">
        <v>1400</v>
      </c>
      <c r="B401" t="s">
        <v>134</v>
      </c>
      <c r="C401" t="s">
        <v>24</v>
      </c>
      <c r="D401" t="s">
        <v>43</v>
      </c>
      <c r="E401" t="s">
        <v>18</v>
      </c>
      <c r="F401">
        <v>5</v>
      </c>
      <c r="G401">
        <v>3.8</v>
      </c>
      <c r="H401">
        <v>19</v>
      </c>
    </row>
    <row r="402" spans="1:8" x14ac:dyDescent="0.2">
      <c r="A402">
        <v>1401</v>
      </c>
      <c r="B402" t="s">
        <v>162</v>
      </c>
      <c r="C402" t="s">
        <v>24</v>
      </c>
      <c r="D402" t="s">
        <v>14</v>
      </c>
      <c r="E402" t="s">
        <v>15</v>
      </c>
      <c r="F402">
        <v>1</v>
      </c>
      <c r="G402">
        <v>2</v>
      </c>
      <c r="H402">
        <v>2</v>
      </c>
    </row>
    <row r="403" spans="1:8" x14ac:dyDescent="0.2">
      <c r="A403">
        <v>1402</v>
      </c>
      <c r="B403" t="s">
        <v>83</v>
      </c>
      <c r="C403" t="s">
        <v>9</v>
      </c>
      <c r="D403" t="s">
        <v>25</v>
      </c>
      <c r="E403" t="s">
        <v>15</v>
      </c>
      <c r="F403">
        <v>1</v>
      </c>
      <c r="G403">
        <v>2.7</v>
      </c>
      <c r="H403">
        <v>2.7</v>
      </c>
    </row>
    <row r="404" spans="1:8" x14ac:dyDescent="0.2">
      <c r="A404">
        <v>1403</v>
      </c>
      <c r="B404" t="s">
        <v>57</v>
      </c>
      <c r="C404" t="s">
        <v>9</v>
      </c>
      <c r="D404" t="s">
        <v>17</v>
      </c>
      <c r="E404" t="s">
        <v>18</v>
      </c>
      <c r="F404">
        <v>1</v>
      </c>
      <c r="G404">
        <v>2.5</v>
      </c>
      <c r="H404">
        <v>2.5</v>
      </c>
    </row>
    <row r="405" spans="1:8" x14ac:dyDescent="0.2">
      <c r="A405">
        <v>1404</v>
      </c>
      <c r="B405" t="s">
        <v>168</v>
      </c>
      <c r="C405" t="s">
        <v>24</v>
      </c>
      <c r="D405" t="s">
        <v>10</v>
      </c>
      <c r="E405" t="s">
        <v>11</v>
      </c>
      <c r="F405">
        <v>3</v>
      </c>
      <c r="G405">
        <v>3.2</v>
      </c>
      <c r="H405">
        <v>9.6</v>
      </c>
    </row>
    <row r="406" spans="1:8" x14ac:dyDescent="0.2">
      <c r="A406">
        <v>1405</v>
      </c>
      <c r="B406" t="s">
        <v>12</v>
      </c>
      <c r="C406" t="s">
        <v>13</v>
      </c>
      <c r="D406" t="s">
        <v>21</v>
      </c>
      <c r="E406" t="s">
        <v>22</v>
      </c>
      <c r="F406">
        <v>2</v>
      </c>
      <c r="G406">
        <v>6.5</v>
      </c>
      <c r="H406">
        <v>13</v>
      </c>
    </row>
    <row r="407" spans="1:8" x14ac:dyDescent="0.2">
      <c r="A407">
        <v>1406</v>
      </c>
      <c r="B407" t="s">
        <v>85</v>
      </c>
      <c r="C407" t="s">
        <v>28</v>
      </c>
      <c r="D407" t="s">
        <v>21</v>
      </c>
      <c r="E407" t="s">
        <v>22</v>
      </c>
      <c r="F407">
        <v>4</v>
      </c>
      <c r="G407">
        <v>6.5</v>
      </c>
      <c r="H407">
        <v>26</v>
      </c>
    </row>
    <row r="408" spans="1:8" x14ac:dyDescent="0.2">
      <c r="A408">
        <v>1407</v>
      </c>
      <c r="B408" t="s">
        <v>159</v>
      </c>
      <c r="C408" t="s">
        <v>28</v>
      </c>
      <c r="D408" t="s">
        <v>14</v>
      </c>
      <c r="E408" t="s">
        <v>15</v>
      </c>
      <c r="F408">
        <v>2</v>
      </c>
      <c r="G408">
        <v>2</v>
      </c>
      <c r="H408">
        <v>4</v>
      </c>
    </row>
    <row r="409" spans="1:8" x14ac:dyDescent="0.2">
      <c r="A409">
        <v>1408</v>
      </c>
      <c r="B409" t="s">
        <v>188</v>
      </c>
      <c r="C409" t="s">
        <v>28</v>
      </c>
      <c r="D409" t="s">
        <v>34</v>
      </c>
      <c r="E409" t="s">
        <v>11</v>
      </c>
      <c r="F409">
        <v>5</v>
      </c>
      <c r="G409">
        <v>2.1</v>
      </c>
      <c r="H409">
        <v>10.5</v>
      </c>
    </row>
    <row r="410" spans="1:8" x14ac:dyDescent="0.2">
      <c r="A410">
        <v>1409</v>
      </c>
      <c r="B410" t="s">
        <v>104</v>
      </c>
      <c r="C410" t="s">
        <v>13</v>
      </c>
      <c r="D410" t="s">
        <v>43</v>
      </c>
      <c r="E410" t="s">
        <v>18</v>
      </c>
      <c r="F410">
        <v>2</v>
      </c>
      <c r="G410">
        <v>3.8</v>
      </c>
      <c r="H410">
        <v>7.6</v>
      </c>
    </row>
    <row r="411" spans="1:8" x14ac:dyDescent="0.2">
      <c r="A411">
        <v>1410</v>
      </c>
      <c r="B411" t="s">
        <v>70</v>
      </c>
      <c r="C411" t="s">
        <v>24</v>
      </c>
      <c r="D411" t="s">
        <v>14</v>
      </c>
      <c r="E411" t="s">
        <v>15</v>
      </c>
      <c r="F411">
        <v>2</v>
      </c>
      <c r="G411">
        <v>2</v>
      </c>
      <c r="H411">
        <v>4</v>
      </c>
    </row>
    <row r="412" spans="1:8" x14ac:dyDescent="0.2">
      <c r="A412">
        <v>1411</v>
      </c>
      <c r="B412" t="s">
        <v>8</v>
      </c>
      <c r="C412" t="s">
        <v>28</v>
      </c>
      <c r="D412" t="s">
        <v>25</v>
      </c>
      <c r="E412" t="s">
        <v>15</v>
      </c>
      <c r="F412">
        <v>5</v>
      </c>
      <c r="G412">
        <v>2.7</v>
      </c>
      <c r="H412">
        <v>13.5</v>
      </c>
    </row>
    <row r="413" spans="1:8" x14ac:dyDescent="0.2">
      <c r="A413">
        <v>1412</v>
      </c>
      <c r="B413" t="s">
        <v>131</v>
      </c>
      <c r="C413" t="s">
        <v>24</v>
      </c>
      <c r="D413" t="s">
        <v>10</v>
      </c>
      <c r="E413" t="s">
        <v>11</v>
      </c>
      <c r="F413">
        <v>5</v>
      </c>
      <c r="G413">
        <v>3.2</v>
      </c>
      <c r="H413">
        <v>16</v>
      </c>
    </row>
    <row r="414" spans="1:8" x14ac:dyDescent="0.2">
      <c r="A414">
        <v>1413</v>
      </c>
      <c r="B414" t="s">
        <v>39</v>
      </c>
      <c r="C414" t="s">
        <v>9</v>
      </c>
      <c r="D414" t="s">
        <v>10</v>
      </c>
      <c r="E414" t="s">
        <v>11</v>
      </c>
      <c r="F414">
        <v>3</v>
      </c>
      <c r="G414">
        <v>3.2</v>
      </c>
      <c r="H414">
        <v>9.6</v>
      </c>
    </row>
    <row r="415" spans="1:8" x14ac:dyDescent="0.2">
      <c r="A415">
        <v>1414</v>
      </c>
      <c r="B415" t="s">
        <v>190</v>
      </c>
      <c r="C415" t="s">
        <v>28</v>
      </c>
      <c r="D415" t="s">
        <v>47</v>
      </c>
      <c r="E415" t="s">
        <v>32</v>
      </c>
      <c r="F415">
        <v>1</v>
      </c>
      <c r="G415">
        <v>2.4</v>
      </c>
      <c r="H415">
        <v>2.4</v>
      </c>
    </row>
    <row r="416" spans="1:8" x14ac:dyDescent="0.2">
      <c r="A416">
        <v>1415</v>
      </c>
      <c r="B416" t="s">
        <v>148</v>
      </c>
      <c r="C416" t="s">
        <v>13</v>
      </c>
      <c r="D416" t="s">
        <v>14</v>
      </c>
      <c r="E416" t="s">
        <v>15</v>
      </c>
      <c r="F416">
        <v>6</v>
      </c>
      <c r="G416">
        <v>2</v>
      </c>
      <c r="H416">
        <v>12</v>
      </c>
    </row>
    <row r="417" spans="1:8" x14ac:dyDescent="0.2">
      <c r="A417">
        <v>1416</v>
      </c>
      <c r="B417" t="s">
        <v>41</v>
      </c>
      <c r="C417" t="s">
        <v>28</v>
      </c>
      <c r="D417" t="s">
        <v>17</v>
      </c>
      <c r="E417" t="s">
        <v>18</v>
      </c>
      <c r="F417">
        <v>4</v>
      </c>
      <c r="G417">
        <v>2.5</v>
      </c>
      <c r="H417">
        <v>10</v>
      </c>
    </row>
    <row r="418" spans="1:8" x14ac:dyDescent="0.2">
      <c r="A418">
        <v>1417</v>
      </c>
      <c r="B418" t="s">
        <v>73</v>
      </c>
      <c r="C418" t="s">
        <v>28</v>
      </c>
      <c r="D418" t="s">
        <v>14</v>
      </c>
      <c r="E418" t="s">
        <v>15</v>
      </c>
      <c r="F418">
        <v>2</v>
      </c>
      <c r="G418">
        <v>2</v>
      </c>
      <c r="H418">
        <v>4</v>
      </c>
    </row>
    <row r="419" spans="1:8" x14ac:dyDescent="0.2">
      <c r="A419">
        <v>1418</v>
      </c>
      <c r="B419" t="s">
        <v>69</v>
      </c>
      <c r="C419" t="s">
        <v>28</v>
      </c>
      <c r="D419" t="s">
        <v>17</v>
      </c>
      <c r="E419" t="s">
        <v>18</v>
      </c>
      <c r="F419">
        <v>5</v>
      </c>
      <c r="G419">
        <v>2.5</v>
      </c>
      <c r="H419">
        <v>12.5</v>
      </c>
    </row>
    <row r="420" spans="1:8" x14ac:dyDescent="0.2">
      <c r="A420">
        <v>1419</v>
      </c>
      <c r="B420" t="s">
        <v>158</v>
      </c>
      <c r="C420" t="s">
        <v>24</v>
      </c>
      <c r="D420" t="s">
        <v>31</v>
      </c>
      <c r="E420" t="s">
        <v>32</v>
      </c>
      <c r="F420">
        <v>6</v>
      </c>
      <c r="G420">
        <v>3</v>
      </c>
      <c r="H420">
        <v>18</v>
      </c>
    </row>
    <row r="421" spans="1:8" x14ac:dyDescent="0.2">
      <c r="A421">
        <v>1420</v>
      </c>
      <c r="B421" t="s">
        <v>52</v>
      </c>
      <c r="C421" t="s">
        <v>13</v>
      </c>
      <c r="D421" t="s">
        <v>43</v>
      </c>
      <c r="E421" t="s">
        <v>18</v>
      </c>
      <c r="F421">
        <v>1</v>
      </c>
      <c r="G421">
        <v>3.8</v>
      </c>
      <c r="H421">
        <v>3.8</v>
      </c>
    </row>
    <row r="422" spans="1:8" x14ac:dyDescent="0.2">
      <c r="A422">
        <v>1421</v>
      </c>
      <c r="B422" t="s">
        <v>145</v>
      </c>
      <c r="C422" t="s">
        <v>28</v>
      </c>
      <c r="D422" t="s">
        <v>31</v>
      </c>
      <c r="E422" t="s">
        <v>32</v>
      </c>
      <c r="F422">
        <v>3</v>
      </c>
      <c r="G422">
        <v>3</v>
      </c>
      <c r="H422">
        <v>9</v>
      </c>
    </row>
    <row r="423" spans="1:8" x14ac:dyDescent="0.2">
      <c r="A423">
        <v>1422</v>
      </c>
      <c r="B423" t="s">
        <v>89</v>
      </c>
      <c r="C423" t="s">
        <v>24</v>
      </c>
      <c r="D423" t="s">
        <v>25</v>
      </c>
      <c r="E423" t="s">
        <v>15</v>
      </c>
      <c r="F423">
        <v>3</v>
      </c>
      <c r="G423">
        <v>2.7</v>
      </c>
      <c r="H423">
        <v>8.1</v>
      </c>
    </row>
    <row r="424" spans="1:8" x14ac:dyDescent="0.2">
      <c r="A424">
        <v>1423</v>
      </c>
      <c r="B424" t="s">
        <v>124</v>
      </c>
      <c r="C424" t="s">
        <v>28</v>
      </c>
      <c r="D424" t="s">
        <v>14</v>
      </c>
      <c r="E424" t="s">
        <v>15</v>
      </c>
      <c r="F424">
        <v>5</v>
      </c>
      <c r="G424">
        <v>2</v>
      </c>
      <c r="H424">
        <v>10</v>
      </c>
    </row>
    <row r="425" spans="1:8" x14ac:dyDescent="0.2">
      <c r="A425">
        <v>1424</v>
      </c>
      <c r="B425" t="s">
        <v>191</v>
      </c>
      <c r="C425" t="s">
        <v>9</v>
      </c>
      <c r="D425" t="s">
        <v>21</v>
      </c>
      <c r="E425" t="s">
        <v>22</v>
      </c>
      <c r="F425">
        <v>1</v>
      </c>
      <c r="G425">
        <v>6.5</v>
      </c>
      <c r="H425">
        <v>6.5</v>
      </c>
    </row>
    <row r="426" spans="1:8" x14ac:dyDescent="0.2">
      <c r="A426">
        <v>1425</v>
      </c>
      <c r="B426" t="s">
        <v>75</v>
      </c>
      <c r="C426" t="s">
        <v>24</v>
      </c>
      <c r="D426" t="s">
        <v>34</v>
      </c>
      <c r="E426" t="s">
        <v>11</v>
      </c>
      <c r="F426">
        <v>2</v>
      </c>
      <c r="G426">
        <v>2.1</v>
      </c>
      <c r="H426">
        <v>4.2</v>
      </c>
    </row>
    <row r="427" spans="1:8" x14ac:dyDescent="0.2">
      <c r="A427">
        <v>1426</v>
      </c>
      <c r="B427" t="s">
        <v>60</v>
      </c>
      <c r="C427" t="s">
        <v>24</v>
      </c>
      <c r="D427" t="s">
        <v>29</v>
      </c>
      <c r="E427" t="s">
        <v>22</v>
      </c>
      <c r="F427">
        <v>4</v>
      </c>
      <c r="G427">
        <v>4.2</v>
      </c>
      <c r="H427">
        <v>16.8</v>
      </c>
    </row>
    <row r="428" spans="1:8" x14ac:dyDescent="0.2">
      <c r="A428">
        <v>1427</v>
      </c>
      <c r="B428" t="s">
        <v>51</v>
      </c>
      <c r="C428" t="s">
        <v>9</v>
      </c>
      <c r="D428" t="s">
        <v>10</v>
      </c>
      <c r="E428" t="s">
        <v>11</v>
      </c>
      <c r="F428">
        <v>1</v>
      </c>
      <c r="G428">
        <v>3.2</v>
      </c>
      <c r="H428">
        <v>3.2</v>
      </c>
    </row>
    <row r="429" spans="1:8" x14ac:dyDescent="0.2">
      <c r="A429">
        <v>1428</v>
      </c>
      <c r="B429" t="s">
        <v>192</v>
      </c>
      <c r="C429" t="s">
        <v>13</v>
      </c>
      <c r="D429" t="s">
        <v>31</v>
      </c>
      <c r="E429" t="s">
        <v>32</v>
      </c>
      <c r="F429">
        <v>5</v>
      </c>
      <c r="G429">
        <v>3</v>
      </c>
      <c r="H429">
        <v>15</v>
      </c>
    </row>
    <row r="430" spans="1:8" x14ac:dyDescent="0.2">
      <c r="A430">
        <v>1429</v>
      </c>
      <c r="B430" t="s">
        <v>45</v>
      </c>
      <c r="C430" t="s">
        <v>9</v>
      </c>
      <c r="D430" t="s">
        <v>43</v>
      </c>
      <c r="E430" t="s">
        <v>18</v>
      </c>
      <c r="F430">
        <v>4</v>
      </c>
      <c r="G430">
        <v>3.8</v>
      </c>
      <c r="H430">
        <v>15.2</v>
      </c>
    </row>
    <row r="431" spans="1:8" x14ac:dyDescent="0.2">
      <c r="A431">
        <v>1430</v>
      </c>
      <c r="B431" t="s">
        <v>26</v>
      </c>
      <c r="C431" t="s">
        <v>9</v>
      </c>
      <c r="D431" t="s">
        <v>21</v>
      </c>
      <c r="E431" t="s">
        <v>22</v>
      </c>
      <c r="F431">
        <v>4</v>
      </c>
      <c r="G431">
        <v>6.5</v>
      </c>
      <c r="H431">
        <v>26</v>
      </c>
    </row>
    <row r="432" spans="1:8" x14ac:dyDescent="0.2">
      <c r="A432">
        <v>1431</v>
      </c>
      <c r="B432" t="s">
        <v>172</v>
      </c>
      <c r="C432" t="s">
        <v>9</v>
      </c>
      <c r="D432" t="s">
        <v>21</v>
      </c>
      <c r="E432" t="s">
        <v>22</v>
      </c>
      <c r="F432">
        <v>1</v>
      </c>
      <c r="G432">
        <v>6.5</v>
      </c>
      <c r="H432">
        <v>6.5</v>
      </c>
    </row>
    <row r="433" spans="1:8" x14ac:dyDescent="0.2">
      <c r="A433">
        <v>1432</v>
      </c>
      <c r="B433" t="s">
        <v>8</v>
      </c>
      <c r="C433" t="s">
        <v>13</v>
      </c>
      <c r="D433" t="s">
        <v>47</v>
      </c>
      <c r="E433" t="s">
        <v>32</v>
      </c>
      <c r="F433">
        <v>1</v>
      </c>
      <c r="G433">
        <v>2.4</v>
      </c>
      <c r="H433">
        <v>2.4</v>
      </c>
    </row>
    <row r="434" spans="1:8" x14ac:dyDescent="0.2">
      <c r="A434">
        <v>1433</v>
      </c>
      <c r="B434" t="s">
        <v>176</v>
      </c>
      <c r="C434" t="s">
        <v>13</v>
      </c>
      <c r="D434" t="s">
        <v>29</v>
      </c>
      <c r="E434" t="s">
        <v>22</v>
      </c>
      <c r="F434">
        <v>6</v>
      </c>
      <c r="G434">
        <v>4.2</v>
      </c>
      <c r="H434">
        <v>25.2</v>
      </c>
    </row>
    <row r="435" spans="1:8" x14ac:dyDescent="0.2">
      <c r="A435">
        <v>1434</v>
      </c>
      <c r="B435" t="s">
        <v>60</v>
      </c>
      <c r="C435" t="s">
        <v>28</v>
      </c>
      <c r="D435" t="s">
        <v>10</v>
      </c>
      <c r="E435" t="s">
        <v>11</v>
      </c>
      <c r="F435">
        <v>3</v>
      </c>
      <c r="G435">
        <v>3.2</v>
      </c>
      <c r="H435">
        <v>9.6</v>
      </c>
    </row>
    <row r="436" spans="1:8" x14ac:dyDescent="0.2">
      <c r="A436">
        <v>1435</v>
      </c>
      <c r="B436" t="s">
        <v>118</v>
      </c>
      <c r="C436" t="s">
        <v>13</v>
      </c>
      <c r="D436" t="s">
        <v>21</v>
      </c>
      <c r="E436" t="s">
        <v>22</v>
      </c>
      <c r="F436">
        <v>5</v>
      </c>
      <c r="G436">
        <v>6.5</v>
      </c>
      <c r="H436">
        <v>32.5</v>
      </c>
    </row>
    <row r="437" spans="1:8" x14ac:dyDescent="0.2">
      <c r="A437">
        <v>1436</v>
      </c>
      <c r="B437" t="s">
        <v>167</v>
      </c>
      <c r="C437" t="s">
        <v>13</v>
      </c>
      <c r="D437" t="s">
        <v>25</v>
      </c>
      <c r="E437" t="s">
        <v>15</v>
      </c>
      <c r="F437">
        <v>3</v>
      </c>
      <c r="G437">
        <v>2.7</v>
      </c>
      <c r="H437">
        <v>8.1</v>
      </c>
    </row>
    <row r="438" spans="1:8" x14ac:dyDescent="0.2">
      <c r="A438">
        <v>1437</v>
      </c>
      <c r="B438" t="s">
        <v>73</v>
      </c>
      <c r="C438" t="s">
        <v>24</v>
      </c>
      <c r="D438" t="s">
        <v>17</v>
      </c>
      <c r="E438" t="s">
        <v>18</v>
      </c>
      <c r="F438">
        <v>6</v>
      </c>
      <c r="G438">
        <v>2.5</v>
      </c>
      <c r="H438">
        <v>15</v>
      </c>
    </row>
    <row r="439" spans="1:8" x14ac:dyDescent="0.2">
      <c r="A439">
        <v>1438</v>
      </c>
      <c r="B439" t="s">
        <v>19</v>
      </c>
      <c r="C439" t="s">
        <v>28</v>
      </c>
      <c r="D439" t="s">
        <v>31</v>
      </c>
      <c r="E439" t="s">
        <v>32</v>
      </c>
      <c r="F439">
        <v>1</v>
      </c>
      <c r="G439">
        <v>3</v>
      </c>
      <c r="H439">
        <v>3</v>
      </c>
    </row>
    <row r="440" spans="1:8" x14ac:dyDescent="0.2">
      <c r="A440">
        <v>1439</v>
      </c>
      <c r="B440" t="s">
        <v>115</v>
      </c>
      <c r="C440" t="s">
        <v>24</v>
      </c>
      <c r="D440" t="s">
        <v>29</v>
      </c>
      <c r="E440" t="s">
        <v>22</v>
      </c>
      <c r="F440">
        <v>1</v>
      </c>
      <c r="G440">
        <v>4.2</v>
      </c>
      <c r="H440">
        <v>4.2</v>
      </c>
    </row>
    <row r="441" spans="1:8" x14ac:dyDescent="0.2">
      <c r="A441">
        <v>1440</v>
      </c>
      <c r="B441" t="s">
        <v>172</v>
      </c>
      <c r="C441" t="s">
        <v>13</v>
      </c>
      <c r="D441" t="s">
        <v>21</v>
      </c>
      <c r="E441" t="s">
        <v>22</v>
      </c>
      <c r="F441">
        <v>2</v>
      </c>
      <c r="G441">
        <v>6.5</v>
      </c>
      <c r="H441">
        <v>13</v>
      </c>
    </row>
    <row r="442" spans="1:8" x14ac:dyDescent="0.2">
      <c r="A442">
        <v>1441</v>
      </c>
      <c r="B442" t="s">
        <v>141</v>
      </c>
      <c r="C442" t="s">
        <v>9</v>
      </c>
      <c r="D442" t="s">
        <v>29</v>
      </c>
      <c r="E442" t="s">
        <v>22</v>
      </c>
      <c r="F442">
        <v>2</v>
      </c>
      <c r="G442">
        <v>4.2</v>
      </c>
      <c r="H442">
        <v>8.4</v>
      </c>
    </row>
    <row r="443" spans="1:8" x14ac:dyDescent="0.2">
      <c r="A443">
        <v>1442</v>
      </c>
      <c r="B443" t="s">
        <v>165</v>
      </c>
      <c r="C443" t="s">
        <v>13</v>
      </c>
      <c r="D443" t="s">
        <v>47</v>
      </c>
      <c r="E443" t="s">
        <v>32</v>
      </c>
      <c r="F443">
        <v>6</v>
      </c>
      <c r="G443">
        <v>2.4</v>
      </c>
      <c r="H443">
        <v>14.4</v>
      </c>
    </row>
    <row r="444" spans="1:8" x14ac:dyDescent="0.2">
      <c r="A444">
        <v>1443</v>
      </c>
      <c r="B444" t="s">
        <v>48</v>
      </c>
      <c r="C444" t="s">
        <v>24</v>
      </c>
      <c r="D444" t="s">
        <v>14</v>
      </c>
      <c r="E444" t="s">
        <v>15</v>
      </c>
      <c r="F444">
        <v>2</v>
      </c>
      <c r="G444">
        <v>2</v>
      </c>
      <c r="H444">
        <v>4</v>
      </c>
    </row>
    <row r="445" spans="1:8" x14ac:dyDescent="0.2">
      <c r="A445">
        <v>1444</v>
      </c>
      <c r="B445" t="s">
        <v>103</v>
      </c>
      <c r="C445" t="s">
        <v>9</v>
      </c>
      <c r="D445" t="s">
        <v>17</v>
      </c>
      <c r="E445" t="s">
        <v>18</v>
      </c>
      <c r="F445">
        <v>2</v>
      </c>
      <c r="G445">
        <v>2.5</v>
      </c>
      <c r="H445">
        <v>5</v>
      </c>
    </row>
    <row r="446" spans="1:8" x14ac:dyDescent="0.2">
      <c r="A446">
        <v>1445</v>
      </c>
      <c r="B446" t="s">
        <v>124</v>
      </c>
      <c r="C446" t="s">
        <v>24</v>
      </c>
      <c r="D446" t="s">
        <v>14</v>
      </c>
      <c r="E446" t="s">
        <v>15</v>
      </c>
      <c r="F446">
        <v>6</v>
      </c>
      <c r="G446">
        <v>2</v>
      </c>
      <c r="H446">
        <v>12</v>
      </c>
    </row>
    <row r="447" spans="1:8" x14ac:dyDescent="0.2">
      <c r="A447">
        <v>1446</v>
      </c>
      <c r="B447" t="s">
        <v>27</v>
      </c>
      <c r="C447" t="s">
        <v>28</v>
      </c>
      <c r="D447" t="s">
        <v>29</v>
      </c>
      <c r="E447" t="s">
        <v>22</v>
      </c>
      <c r="F447">
        <v>5</v>
      </c>
      <c r="G447">
        <v>4.2</v>
      </c>
      <c r="H447">
        <v>21</v>
      </c>
    </row>
    <row r="448" spans="1:8" x14ac:dyDescent="0.2">
      <c r="A448">
        <v>1447</v>
      </c>
      <c r="B448" t="s">
        <v>155</v>
      </c>
      <c r="C448" t="s">
        <v>9</v>
      </c>
      <c r="D448" t="s">
        <v>31</v>
      </c>
      <c r="E448" t="s">
        <v>32</v>
      </c>
      <c r="F448">
        <v>2</v>
      </c>
      <c r="G448">
        <v>3</v>
      </c>
      <c r="H448">
        <v>6</v>
      </c>
    </row>
    <row r="449" spans="1:8" x14ac:dyDescent="0.2">
      <c r="A449">
        <v>1448</v>
      </c>
      <c r="B449" t="s">
        <v>126</v>
      </c>
      <c r="C449" t="s">
        <v>9</v>
      </c>
      <c r="D449" t="s">
        <v>31</v>
      </c>
      <c r="E449" t="s">
        <v>32</v>
      </c>
      <c r="F449">
        <v>5</v>
      </c>
      <c r="G449">
        <v>3</v>
      </c>
      <c r="H449">
        <v>15</v>
      </c>
    </row>
    <row r="450" spans="1:8" x14ac:dyDescent="0.2">
      <c r="A450">
        <v>1449</v>
      </c>
      <c r="B450" t="s">
        <v>101</v>
      </c>
      <c r="C450" t="s">
        <v>28</v>
      </c>
      <c r="D450" t="s">
        <v>21</v>
      </c>
      <c r="E450" t="s">
        <v>22</v>
      </c>
      <c r="F450">
        <v>2</v>
      </c>
      <c r="G450">
        <v>6.5</v>
      </c>
      <c r="H450">
        <v>13</v>
      </c>
    </row>
    <row r="451" spans="1:8" x14ac:dyDescent="0.2">
      <c r="A451">
        <v>1450</v>
      </c>
      <c r="B451" t="s">
        <v>193</v>
      </c>
      <c r="C451" t="s">
        <v>28</v>
      </c>
      <c r="D451" t="s">
        <v>14</v>
      </c>
      <c r="E451" t="s">
        <v>15</v>
      </c>
      <c r="F451">
        <v>4</v>
      </c>
      <c r="G451">
        <v>2</v>
      </c>
      <c r="H451">
        <v>8</v>
      </c>
    </row>
    <row r="452" spans="1:8" x14ac:dyDescent="0.2">
      <c r="A452">
        <v>1451</v>
      </c>
      <c r="B452" t="s">
        <v>77</v>
      </c>
      <c r="C452" t="s">
        <v>9</v>
      </c>
      <c r="D452" t="s">
        <v>14</v>
      </c>
      <c r="E452" t="s">
        <v>15</v>
      </c>
      <c r="F452">
        <v>5</v>
      </c>
      <c r="G452">
        <v>2</v>
      </c>
      <c r="H452">
        <v>10</v>
      </c>
    </row>
    <row r="453" spans="1:8" x14ac:dyDescent="0.2">
      <c r="A453">
        <v>1452</v>
      </c>
      <c r="B453" t="s">
        <v>40</v>
      </c>
      <c r="C453" t="s">
        <v>28</v>
      </c>
      <c r="D453" t="s">
        <v>25</v>
      </c>
      <c r="E453" t="s">
        <v>15</v>
      </c>
      <c r="F453">
        <v>2</v>
      </c>
      <c r="G453">
        <v>2.7</v>
      </c>
      <c r="H453">
        <v>5.4</v>
      </c>
    </row>
    <row r="454" spans="1:8" x14ac:dyDescent="0.2">
      <c r="A454">
        <v>1453</v>
      </c>
      <c r="B454" t="s">
        <v>110</v>
      </c>
      <c r="C454" t="s">
        <v>24</v>
      </c>
      <c r="D454" t="s">
        <v>43</v>
      </c>
      <c r="E454" t="s">
        <v>18</v>
      </c>
      <c r="F454">
        <v>1</v>
      </c>
      <c r="G454">
        <v>3.8</v>
      </c>
      <c r="H454">
        <v>3.8</v>
      </c>
    </row>
    <row r="455" spans="1:8" x14ac:dyDescent="0.2">
      <c r="A455">
        <v>1454</v>
      </c>
      <c r="B455" t="s">
        <v>109</v>
      </c>
      <c r="C455" t="s">
        <v>28</v>
      </c>
      <c r="D455" t="s">
        <v>31</v>
      </c>
      <c r="E455" t="s">
        <v>32</v>
      </c>
      <c r="F455">
        <v>6</v>
      </c>
      <c r="G455">
        <v>3</v>
      </c>
      <c r="H455">
        <v>18</v>
      </c>
    </row>
    <row r="456" spans="1:8" x14ac:dyDescent="0.2">
      <c r="A456">
        <v>1455</v>
      </c>
      <c r="B456" t="s">
        <v>58</v>
      </c>
      <c r="C456" t="s">
        <v>13</v>
      </c>
      <c r="D456" t="s">
        <v>14</v>
      </c>
      <c r="E456" t="s">
        <v>15</v>
      </c>
      <c r="F456">
        <v>2</v>
      </c>
      <c r="G456">
        <v>2</v>
      </c>
      <c r="H456">
        <v>4</v>
      </c>
    </row>
    <row r="457" spans="1:8" x14ac:dyDescent="0.2">
      <c r="A457">
        <v>1456</v>
      </c>
      <c r="B457" t="s">
        <v>164</v>
      </c>
      <c r="C457" t="s">
        <v>9</v>
      </c>
      <c r="D457" t="s">
        <v>25</v>
      </c>
      <c r="E457" t="s">
        <v>15</v>
      </c>
      <c r="F457">
        <v>1</v>
      </c>
      <c r="G457">
        <v>2.7</v>
      </c>
      <c r="H457">
        <v>2.7</v>
      </c>
    </row>
    <row r="458" spans="1:8" x14ac:dyDescent="0.2">
      <c r="A458">
        <v>1457</v>
      </c>
      <c r="B458" t="s">
        <v>179</v>
      </c>
      <c r="C458" t="s">
        <v>13</v>
      </c>
      <c r="D458" t="s">
        <v>14</v>
      </c>
      <c r="E458" t="s">
        <v>15</v>
      </c>
      <c r="F458">
        <v>5</v>
      </c>
      <c r="G458">
        <v>2</v>
      </c>
      <c r="H458">
        <v>10</v>
      </c>
    </row>
    <row r="459" spans="1:8" x14ac:dyDescent="0.2">
      <c r="A459">
        <v>1458</v>
      </c>
      <c r="B459" t="s">
        <v>158</v>
      </c>
      <c r="C459" t="s">
        <v>28</v>
      </c>
      <c r="D459" t="s">
        <v>43</v>
      </c>
      <c r="E459" t="s">
        <v>18</v>
      </c>
      <c r="F459">
        <v>2</v>
      </c>
      <c r="G459">
        <v>3.8</v>
      </c>
      <c r="H459">
        <v>7.6</v>
      </c>
    </row>
    <row r="460" spans="1:8" x14ac:dyDescent="0.2">
      <c r="A460">
        <v>1459</v>
      </c>
      <c r="B460" t="s">
        <v>136</v>
      </c>
      <c r="C460" t="s">
        <v>9</v>
      </c>
      <c r="D460" t="s">
        <v>10</v>
      </c>
      <c r="E460" t="s">
        <v>11</v>
      </c>
      <c r="F460">
        <v>6</v>
      </c>
      <c r="G460">
        <v>3.2</v>
      </c>
      <c r="H460">
        <v>19.2</v>
      </c>
    </row>
    <row r="461" spans="1:8" x14ac:dyDescent="0.2">
      <c r="A461">
        <v>1460</v>
      </c>
      <c r="B461" t="s">
        <v>158</v>
      </c>
      <c r="C461" t="s">
        <v>28</v>
      </c>
      <c r="D461" t="s">
        <v>21</v>
      </c>
      <c r="E461" t="s">
        <v>22</v>
      </c>
      <c r="F461">
        <v>3</v>
      </c>
      <c r="G461">
        <v>6.5</v>
      </c>
      <c r="H461">
        <v>19.5</v>
      </c>
    </row>
    <row r="462" spans="1:8" x14ac:dyDescent="0.2">
      <c r="A462">
        <v>1461</v>
      </c>
      <c r="B462" t="s">
        <v>100</v>
      </c>
      <c r="C462" t="s">
        <v>24</v>
      </c>
      <c r="D462" t="s">
        <v>17</v>
      </c>
      <c r="E462" t="s">
        <v>18</v>
      </c>
      <c r="F462">
        <v>3</v>
      </c>
      <c r="G462">
        <v>2.5</v>
      </c>
      <c r="H462">
        <v>7.5</v>
      </c>
    </row>
    <row r="463" spans="1:8" x14ac:dyDescent="0.2">
      <c r="A463">
        <v>1462</v>
      </c>
      <c r="B463" t="s">
        <v>48</v>
      </c>
      <c r="C463" t="s">
        <v>28</v>
      </c>
      <c r="D463" t="s">
        <v>29</v>
      </c>
      <c r="E463" t="s">
        <v>22</v>
      </c>
      <c r="F463">
        <v>4</v>
      </c>
      <c r="G463">
        <v>4.2</v>
      </c>
      <c r="H463">
        <v>16.8</v>
      </c>
    </row>
    <row r="464" spans="1:8" x14ac:dyDescent="0.2">
      <c r="A464">
        <v>1463</v>
      </c>
      <c r="B464" t="s">
        <v>152</v>
      </c>
      <c r="C464" t="s">
        <v>13</v>
      </c>
      <c r="D464" t="s">
        <v>43</v>
      </c>
      <c r="E464" t="s">
        <v>18</v>
      </c>
      <c r="F464">
        <v>2</v>
      </c>
      <c r="G464">
        <v>3.8</v>
      </c>
      <c r="H464">
        <v>7.6</v>
      </c>
    </row>
    <row r="465" spans="1:8" x14ac:dyDescent="0.2">
      <c r="A465">
        <v>1464</v>
      </c>
      <c r="B465" t="s">
        <v>194</v>
      </c>
      <c r="C465" t="s">
        <v>13</v>
      </c>
      <c r="D465" t="s">
        <v>14</v>
      </c>
      <c r="E465" t="s">
        <v>15</v>
      </c>
      <c r="F465">
        <v>3</v>
      </c>
      <c r="G465">
        <v>2</v>
      </c>
      <c r="H465">
        <v>6</v>
      </c>
    </row>
    <row r="466" spans="1:8" x14ac:dyDescent="0.2">
      <c r="A466">
        <v>1465</v>
      </c>
      <c r="B466" t="s">
        <v>195</v>
      </c>
      <c r="C466" t="s">
        <v>13</v>
      </c>
      <c r="D466" t="s">
        <v>14</v>
      </c>
      <c r="E466" t="s">
        <v>15</v>
      </c>
      <c r="F466">
        <v>4</v>
      </c>
      <c r="G466">
        <v>2</v>
      </c>
      <c r="H466">
        <v>8</v>
      </c>
    </row>
    <row r="467" spans="1:8" x14ac:dyDescent="0.2">
      <c r="A467">
        <v>1466</v>
      </c>
      <c r="B467" t="s">
        <v>77</v>
      </c>
      <c r="C467" t="s">
        <v>9</v>
      </c>
      <c r="D467" t="s">
        <v>17</v>
      </c>
      <c r="E467" t="s">
        <v>18</v>
      </c>
      <c r="F467">
        <v>5</v>
      </c>
      <c r="G467">
        <v>2.5</v>
      </c>
      <c r="H467">
        <v>12.5</v>
      </c>
    </row>
    <row r="468" spans="1:8" x14ac:dyDescent="0.2">
      <c r="A468">
        <v>1467</v>
      </c>
      <c r="B468" t="s">
        <v>186</v>
      </c>
      <c r="C468" t="s">
        <v>24</v>
      </c>
      <c r="D468" t="s">
        <v>29</v>
      </c>
      <c r="E468" t="s">
        <v>22</v>
      </c>
      <c r="F468">
        <v>2</v>
      </c>
      <c r="G468">
        <v>4.2</v>
      </c>
      <c r="H468">
        <v>8.4</v>
      </c>
    </row>
    <row r="469" spans="1:8" x14ac:dyDescent="0.2">
      <c r="A469">
        <v>1468</v>
      </c>
      <c r="B469" t="s">
        <v>117</v>
      </c>
      <c r="C469" t="s">
        <v>13</v>
      </c>
      <c r="D469" t="s">
        <v>29</v>
      </c>
      <c r="E469" t="s">
        <v>22</v>
      </c>
      <c r="F469">
        <v>5</v>
      </c>
      <c r="G469">
        <v>4.2</v>
      </c>
      <c r="H469">
        <v>21</v>
      </c>
    </row>
    <row r="470" spans="1:8" x14ac:dyDescent="0.2">
      <c r="A470">
        <v>1469</v>
      </c>
      <c r="B470" t="s">
        <v>40</v>
      </c>
      <c r="C470" t="s">
        <v>9</v>
      </c>
      <c r="D470" t="s">
        <v>47</v>
      </c>
      <c r="E470" t="s">
        <v>32</v>
      </c>
      <c r="F470">
        <v>5</v>
      </c>
      <c r="G470">
        <v>2.4</v>
      </c>
      <c r="H470">
        <v>12</v>
      </c>
    </row>
    <row r="471" spans="1:8" x14ac:dyDescent="0.2">
      <c r="A471">
        <v>1470</v>
      </c>
      <c r="B471" t="s">
        <v>102</v>
      </c>
      <c r="C471" t="s">
        <v>13</v>
      </c>
      <c r="D471" t="s">
        <v>43</v>
      </c>
      <c r="E471" t="s">
        <v>18</v>
      </c>
      <c r="F471">
        <v>3</v>
      </c>
      <c r="G471">
        <v>3.8</v>
      </c>
      <c r="H471">
        <v>11.4</v>
      </c>
    </row>
    <row r="472" spans="1:8" x14ac:dyDescent="0.2">
      <c r="A472">
        <v>1471</v>
      </c>
      <c r="B472" t="s">
        <v>162</v>
      </c>
      <c r="C472" t="s">
        <v>9</v>
      </c>
      <c r="D472" t="s">
        <v>25</v>
      </c>
      <c r="E472" t="s">
        <v>15</v>
      </c>
      <c r="F472">
        <v>3</v>
      </c>
      <c r="G472">
        <v>2.7</v>
      </c>
      <c r="H472">
        <v>8.1</v>
      </c>
    </row>
    <row r="473" spans="1:8" x14ac:dyDescent="0.2">
      <c r="A473">
        <v>1472</v>
      </c>
      <c r="B473" t="s">
        <v>196</v>
      </c>
      <c r="C473" t="s">
        <v>28</v>
      </c>
      <c r="D473" t="s">
        <v>29</v>
      </c>
      <c r="E473" t="s">
        <v>22</v>
      </c>
      <c r="F473">
        <v>6</v>
      </c>
      <c r="G473">
        <v>4.2</v>
      </c>
      <c r="H473">
        <v>25.2</v>
      </c>
    </row>
    <row r="474" spans="1:8" x14ac:dyDescent="0.2">
      <c r="A474">
        <v>1473</v>
      </c>
      <c r="B474" t="s">
        <v>152</v>
      </c>
      <c r="C474" t="s">
        <v>13</v>
      </c>
      <c r="D474" t="s">
        <v>47</v>
      </c>
      <c r="E474" t="s">
        <v>32</v>
      </c>
      <c r="F474">
        <v>5</v>
      </c>
      <c r="G474">
        <v>2.4</v>
      </c>
      <c r="H474">
        <v>12</v>
      </c>
    </row>
    <row r="475" spans="1:8" x14ac:dyDescent="0.2">
      <c r="A475">
        <v>1474</v>
      </c>
      <c r="B475" t="s">
        <v>94</v>
      </c>
      <c r="C475" t="s">
        <v>9</v>
      </c>
      <c r="D475" t="s">
        <v>10</v>
      </c>
      <c r="E475" t="s">
        <v>11</v>
      </c>
      <c r="F475">
        <v>6</v>
      </c>
      <c r="G475">
        <v>3.2</v>
      </c>
      <c r="H475">
        <v>19.2</v>
      </c>
    </row>
    <row r="476" spans="1:8" x14ac:dyDescent="0.2">
      <c r="A476">
        <v>1475</v>
      </c>
      <c r="B476" t="s">
        <v>37</v>
      </c>
      <c r="C476" t="s">
        <v>24</v>
      </c>
      <c r="D476" t="s">
        <v>25</v>
      </c>
      <c r="E476" t="s">
        <v>15</v>
      </c>
      <c r="F476">
        <v>5</v>
      </c>
      <c r="G476">
        <v>2.7</v>
      </c>
      <c r="H476">
        <v>13.5</v>
      </c>
    </row>
    <row r="477" spans="1:8" x14ac:dyDescent="0.2">
      <c r="A477">
        <v>1476</v>
      </c>
      <c r="B477" t="s">
        <v>127</v>
      </c>
      <c r="C477" t="s">
        <v>9</v>
      </c>
      <c r="D477" t="s">
        <v>34</v>
      </c>
      <c r="E477" t="s">
        <v>11</v>
      </c>
      <c r="F477">
        <v>4</v>
      </c>
      <c r="G477">
        <v>2.1</v>
      </c>
      <c r="H477">
        <v>8.4</v>
      </c>
    </row>
    <row r="478" spans="1:8" x14ac:dyDescent="0.2">
      <c r="A478">
        <v>1477</v>
      </c>
      <c r="B478" t="s">
        <v>40</v>
      </c>
      <c r="C478" t="s">
        <v>28</v>
      </c>
      <c r="D478" t="s">
        <v>10</v>
      </c>
      <c r="E478" t="s">
        <v>11</v>
      </c>
      <c r="F478">
        <v>3</v>
      </c>
      <c r="G478">
        <v>3.2</v>
      </c>
      <c r="H478">
        <v>9.6</v>
      </c>
    </row>
    <row r="479" spans="1:8" x14ac:dyDescent="0.2">
      <c r="A479">
        <v>1478</v>
      </c>
      <c r="B479" t="s">
        <v>167</v>
      </c>
      <c r="C479" t="s">
        <v>13</v>
      </c>
      <c r="D479" t="s">
        <v>21</v>
      </c>
      <c r="E479" t="s">
        <v>22</v>
      </c>
      <c r="F479">
        <v>2</v>
      </c>
      <c r="G479">
        <v>6.5</v>
      </c>
      <c r="H479">
        <v>13</v>
      </c>
    </row>
    <row r="480" spans="1:8" x14ac:dyDescent="0.2">
      <c r="A480">
        <v>1479</v>
      </c>
      <c r="B480" t="s">
        <v>151</v>
      </c>
      <c r="C480" t="s">
        <v>24</v>
      </c>
      <c r="D480" t="s">
        <v>29</v>
      </c>
      <c r="E480" t="s">
        <v>22</v>
      </c>
      <c r="F480">
        <v>4</v>
      </c>
      <c r="G480">
        <v>4.2</v>
      </c>
      <c r="H480">
        <v>16.8</v>
      </c>
    </row>
    <row r="481" spans="1:8" x14ac:dyDescent="0.2">
      <c r="A481">
        <v>1480</v>
      </c>
      <c r="B481" t="s">
        <v>142</v>
      </c>
      <c r="C481" t="s">
        <v>24</v>
      </c>
      <c r="D481" t="s">
        <v>14</v>
      </c>
      <c r="E481" t="s">
        <v>15</v>
      </c>
      <c r="F481">
        <v>2</v>
      </c>
      <c r="G481">
        <v>2</v>
      </c>
      <c r="H481">
        <v>4</v>
      </c>
    </row>
    <row r="482" spans="1:8" x14ac:dyDescent="0.2">
      <c r="A482">
        <v>1481</v>
      </c>
      <c r="B482" t="s">
        <v>137</v>
      </c>
      <c r="C482" t="s">
        <v>28</v>
      </c>
      <c r="D482" t="s">
        <v>25</v>
      </c>
      <c r="E482" t="s">
        <v>15</v>
      </c>
      <c r="F482">
        <v>5</v>
      </c>
      <c r="G482">
        <v>2.7</v>
      </c>
      <c r="H482">
        <v>13.5</v>
      </c>
    </row>
    <row r="483" spans="1:8" x14ac:dyDescent="0.2">
      <c r="A483">
        <v>1482</v>
      </c>
      <c r="B483" t="s">
        <v>183</v>
      </c>
      <c r="C483" t="s">
        <v>24</v>
      </c>
      <c r="D483" t="s">
        <v>21</v>
      </c>
      <c r="E483" t="s">
        <v>22</v>
      </c>
      <c r="F483">
        <v>2</v>
      </c>
      <c r="G483">
        <v>6.5</v>
      </c>
      <c r="H483">
        <v>13</v>
      </c>
    </row>
    <row r="484" spans="1:8" x14ac:dyDescent="0.2">
      <c r="A484">
        <v>1483</v>
      </c>
      <c r="B484" t="s">
        <v>171</v>
      </c>
      <c r="C484" t="s">
        <v>28</v>
      </c>
      <c r="D484" t="s">
        <v>10</v>
      </c>
      <c r="E484" t="s">
        <v>11</v>
      </c>
      <c r="F484">
        <v>5</v>
      </c>
      <c r="G484">
        <v>3.2</v>
      </c>
      <c r="H484">
        <v>16</v>
      </c>
    </row>
    <row r="485" spans="1:8" x14ac:dyDescent="0.2">
      <c r="A485">
        <v>1484</v>
      </c>
      <c r="B485" t="s">
        <v>97</v>
      </c>
      <c r="C485" t="s">
        <v>9</v>
      </c>
      <c r="D485" t="s">
        <v>47</v>
      </c>
      <c r="E485" t="s">
        <v>32</v>
      </c>
      <c r="F485">
        <v>2</v>
      </c>
      <c r="G485">
        <v>2.4</v>
      </c>
      <c r="H485">
        <v>4.8</v>
      </c>
    </row>
    <row r="486" spans="1:8" x14ac:dyDescent="0.2">
      <c r="A486">
        <v>1485</v>
      </c>
      <c r="B486" t="s">
        <v>197</v>
      </c>
      <c r="C486" t="s">
        <v>24</v>
      </c>
      <c r="D486" t="s">
        <v>43</v>
      </c>
      <c r="E486" t="s">
        <v>18</v>
      </c>
      <c r="F486">
        <v>4</v>
      </c>
      <c r="G486">
        <v>3.8</v>
      </c>
      <c r="H486">
        <v>15.2</v>
      </c>
    </row>
    <row r="487" spans="1:8" x14ac:dyDescent="0.2">
      <c r="A487">
        <v>1486</v>
      </c>
      <c r="B487" t="s">
        <v>89</v>
      </c>
      <c r="C487" t="s">
        <v>24</v>
      </c>
      <c r="D487" t="s">
        <v>31</v>
      </c>
      <c r="E487" t="s">
        <v>32</v>
      </c>
      <c r="F487">
        <v>4</v>
      </c>
      <c r="G487">
        <v>3</v>
      </c>
      <c r="H487">
        <v>12</v>
      </c>
    </row>
    <row r="488" spans="1:8" x14ac:dyDescent="0.2">
      <c r="A488">
        <v>1487</v>
      </c>
      <c r="B488" t="s">
        <v>163</v>
      </c>
      <c r="C488" t="s">
        <v>13</v>
      </c>
      <c r="D488" t="s">
        <v>31</v>
      </c>
      <c r="E488" t="s">
        <v>32</v>
      </c>
      <c r="F488">
        <v>3</v>
      </c>
      <c r="G488">
        <v>3</v>
      </c>
      <c r="H488">
        <v>9</v>
      </c>
    </row>
    <row r="489" spans="1:8" x14ac:dyDescent="0.2">
      <c r="A489">
        <v>1488</v>
      </c>
      <c r="B489" t="s">
        <v>74</v>
      </c>
      <c r="C489" t="s">
        <v>9</v>
      </c>
      <c r="D489" t="s">
        <v>25</v>
      </c>
      <c r="E489" t="s">
        <v>15</v>
      </c>
      <c r="F489">
        <v>6</v>
      </c>
      <c r="G489">
        <v>2.7</v>
      </c>
      <c r="H489">
        <v>16.2</v>
      </c>
    </row>
    <row r="490" spans="1:8" x14ac:dyDescent="0.2">
      <c r="A490">
        <v>1489</v>
      </c>
      <c r="B490" t="s">
        <v>182</v>
      </c>
      <c r="C490" t="s">
        <v>28</v>
      </c>
      <c r="D490" t="s">
        <v>14</v>
      </c>
      <c r="E490" t="s">
        <v>15</v>
      </c>
      <c r="F490">
        <v>5</v>
      </c>
      <c r="G490">
        <v>2</v>
      </c>
      <c r="H490">
        <v>10</v>
      </c>
    </row>
    <row r="491" spans="1:8" x14ac:dyDescent="0.2">
      <c r="A491">
        <v>1490</v>
      </c>
      <c r="B491" t="s">
        <v>82</v>
      </c>
      <c r="C491" t="s">
        <v>28</v>
      </c>
      <c r="D491" t="s">
        <v>25</v>
      </c>
      <c r="E491" t="s">
        <v>15</v>
      </c>
      <c r="F491">
        <v>2</v>
      </c>
      <c r="G491">
        <v>2.7</v>
      </c>
      <c r="H491">
        <v>5.4</v>
      </c>
    </row>
    <row r="492" spans="1:8" x14ac:dyDescent="0.2">
      <c r="A492">
        <v>1491</v>
      </c>
      <c r="B492" t="s">
        <v>126</v>
      </c>
      <c r="C492" t="s">
        <v>13</v>
      </c>
      <c r="D492" t="s">
        <v>10</v>
      </c>
      <c r="E492" t="s">
        <v>11</v>
      </c>
      <c r="F492">
        <v>4</v>
      </c>
      <c r="G492">
        <v>3.2</v>
      </c>
      <c r="H492">
        <v>12.8</v>
      </c>
    </row>
    <row r="493" spans="1:8" x14ac:dyDescent="0.2">
      <c r="A493">
        <v>1492</v>
      </c>
      <c r="B493" t="s">
        <v>124</v>
      </c>
      <c r="C493" t="s">
        <v>9</v>
      </c>
      <c r="D493" t="s">
        <v>21</v>
      </c>
      <c r="E493" t="s">
        <v>22</v>
      </c>
      <c r="F493">
        <v>1</v>
      </c>
      <c r="G493">
        <v>6.5</v>
      </c>
      <c r="H493">
        <v>6.5</v>
      </c>
    </row>
    <row r="494" spans="1:8" x14ac:dyDescent="0.2">
      <c r="A494">
        <v>1493</v>
      </c>
      <c r="B494" t="s">
        <v>116</v>
      </c>
      <c r="C494" t="s">
        <v>28</v>
      </c>
      <c r="D494" t="s">
        <v>29</v>
      </c>
      <c r="E494" t="s">
        <v>22</v>
      </c>
      <c r="F494">
        <v>4</v>
      </c>
      <c r="G494">
        <v>4.2</v>
      </c>
      <c r="H494">
        <v>16.8</v>
      </c>
    </row>
    <row r="495" spans="1:8" x14ac:dyDescent="0.2">
      <c r="A495">
        <v>1494</v>
      </c>
      <c r="B495" t="s">
        <v>110</v>
      </c>
      <c r="C495" t="s">
        <v>28</v>
      </c>
      <c r="D495" t="s">
        <v>34</v>
      </c>
      <c r="E495" t="s">
        <v>11</v>
      </c>
      <c r="F495">
        <v>1</v>
      </c>
      <c r="G495">
        <v>2.1</v>
      </c>
      <c r="H495">
        <v>2.1</v>
      </c>
    </row>
    <row r="496" spans="1:8" x14ac:dyDescent="0.2">
      <c r="A496">
        <v>1495</v>
      </c>
      <c r="B496" t="s">
        <v>121</v>
      </c>
      <c r="C496" t="s">
        <v>28</v>
      </c>
      <c r="D496" t="s">
        <v>34</v>
      </c>
      <c r="E496" t="s">
        <v>11</v>
      </c>
      <c r="F496">
        <v>3</v>
      </c>
      <c r="G496">
        <v>2.1</v>
      </c>
      <c r="H496">
        <v>6.3</v>
      </c>
    </row>
    <row r="497" spans="1:8" x14ac:dyDescent="0.2">
      <c r="A497">
        <v>1496</v>
      </c>
      <c r="B497" t="s">
        <v>49</v>
      </c>
      <c r="C497" t="s">
        <v>9</v>
      </c>
      <c r="D497" t="s">
        <v>34</v>
      </c>
      <c r="E497" t="s">
        <v>11</v>
      </c>
      <c r="F497">
        <v>3</v>
      </c>
      <c r="G497">
        <v>2.1</v>
      </c>
      <c r="H497">
        <v>6.3</v>
      </c>
    </row>
    <row r="498" spans="1:8" x14ac:dyDescent="0.2">
      <c r="A498">
        <v>1497</v>
      </c>
      <c r="B498" t="s">
        <v>164</v>
      </c>
      <c r="C498" t="s">
        <v>13</v>
      </c>
      <c r="D498" t="s">
        <v>21</v>
      </c>
      <c r="E498" t="s">
        <v>22</v>
      </c>
      <c r="F498">
        <v>6</v>
      </c>
      <c r="G498">
        <v>6.5</v>
      </c>
      <c r="H498">
        <v>39</v>
      </c>
    </row>
    <row r="499" spans="1:8" x14ac:dyDescent="0.2">
      <c r="A499">
        <v>1498</v>
      </c>
      <c r="B499" t="s">
        <v>83</v>
      </c>
      <c r="C499" t="s">
        <v>24</v>
      </c>
      <c r="D499" t="s">
        <v>10</v>
      </c>
      <c r="E499" t="s">
        <v>11</v>
      </c>
      <c r="F499">
        <v>2</v>
      </c>
      <c r="G499">
        <v>3.2</v>
      </c>
      <c r="H499">
        <v>6.4</v>
      </c>
    </row>
    <row r="500" spans="1:8" x14ac:dyDescent="0.2">
      <c r="A500">
        <v>1499</v>
      </c>
      <c r="B500" t="s">
        <v>63</v>
      </c>
      <c r="C500" t="s">
        <v>9</v>
      </c>
      <c r="D500" t="s">
        <v>17</v>
      </c>
      <c r="E500" t="s">
        <v>18</v>
      </c>
      <c r="F500">
        <v>3</v>
      </c>
      <c r="G500">
        <v>2.5</v>
      </c>
      <c r="H500">
        <v>7.5</v>
      </c>
    </row>
    <row r="501" spans="1:8" x14ac:dyDescent="0.2">
      <c r="A501">
        <v>1500</v>
      </c>
      <c r="B501" t="s">
        <v>77</v>
      </c>
      <c r="C501" t="s">
        <v>28</v>
      </c>
      <c r="D501" t="s">
        <v>34</v>
      </c>
      <c r="E501" t="s">
        <v>11</v>
      </c>
      <c r="F501">
        <v>2</v>
      </c>
      <c r="G501">
        <v>2.1</v>
      </c>
      <c r="H501">
        <v>4.2</v>
      </c>
    </row>
    <row r="502" spans="1:8" x14ac:dyDescent="0.2">
      <c r="A502">
        <v>1501</v>
      </c>
      <c r="B502" t="s">
        <v>134</v>
      </c>
      <c r="C502" t="s">
        <v>24</v>
      </c>
      <c r="D502" t="s">
        <v>25</v>
      </c>
      <c r="E502" t="s">
        <v>15</v>
      </c>
      <c r="F502">
        <v>1</v>
      </c>
      <c r="G502">
        <v>2.7</v>
      </c>
      <c r="H502">
        <v>2.7</v>
      </c>
    </row>
    <row r="503" spans="1:8" x14ac:dyDescent="0.2">
      <c r="A503">
        <v>1502</v>
      </c>
      <c r="B503" t="s">
        <v>166</v>
      </c>
      <c r="C503" t="s">
        <v>28</v>
      </c>
      <c r="D503" t="s">
        <v>43</v>
      </c>
      <c r="E503" t="s">
        <v>18</v>
      </c>
      <c r="F503">
        <v>5</v>
      </c>
      <c r="G503">
        <v>3.8</v>
      </c>
      <c r="H503">
        <v>19</v>
      </c>
    </row>
    <row r="504" spans="1:8" x14ac:dyDescent="0.2">
      <c r="A504">
        <v>1503</v>
      </c>
      <c r="B504" t="s">
        <v>63</v>
      </c>
      <c r="C504" t="s">
        <v>28</v>
      </c>
      <c r="D504" t="s">
        <v>43</v>
      </c>
      <c r="E504" t="s">
        <v>18</v>
      </c>
      <c r="F504">
        <v>2</v>
      </c>
      <c r="G504">
        <v>3.8</v>
      </c>
      <c r="H504">
        <v>7.6</v>
      </c>
    </row>
    <row r="505" spans="1:8" x14ac:dyDescent="0.2">
      <c r="A505">
        <v>1504</v>
      </c>
      <c r="B505" t="s">
        <v>65</v>
      </c>
      <c r="C505" t="s">
        <v>13</v>
      </c>
      <c r="D505" t="s">
        <v>29</v>
      </c>
      <c r="E505" t="s">
        <v>22</v>
      </c>
      <c r="F505">
        <v>5</v>
      </c>
      <c r="G505">
        <v>4.2</v>
      </c>
      <c r="H505">
        <v>21</v>
      </c>
    </row>
    <row r="506" spans="1:8" x14ac:dyDescent="0.2">
      <c r="A506">
        <v>1505</v>
      </c>
      <c r="B506" t="s">
        <v>59</v>
      </c>
      <c r="C506" t="s">
        <v>28</v>
      </c>
      <c r="D506" t="s">
        <v>17</v>
      </c>
      <c r="E506" t="s">
        <v>18</v>
      </c>
      <c r="F506">
        <v>4</v>
      </c>
      <c r="G506">
        <v>2.5</v>
      </c>
      <c r="H506">
        <v>10</v>
      </c>
    </row>
    <row r="507" spans="1:8" x14ac:dyDescent="0.2">
      <c r="A507">
        <v>1506</v>
      </c>
      <c r="B507" t="s">
        <v>172</v>
      </c>
      <c r="C507" t="s">
        <v>28</v>
      </c>
      <c r="D507" t="s">
        <v>17</v>
      </c>
      <c r="E507" t="s">
        <v>18</v>
      </c>
      <c r="F507">
        <v>5</v>
      </c>
      <c r="G507">
        <v>2.5</v>
      </c>
      <c r="H507">
        <v>12.5</v>
      </c>
    </row>
    <row r="508" spans="1:8" x14ac:dyDescent="0.2">
      <c r="A508">
        <v>1507</v>
      </c>
      <c r="B508" t="s">
        <v>198</v>
      </c>
      <c r="C508" t="s">
        <v>13</v>
      </c>
      <c r="D508" t="s">
        <v>21</v>
      </c>
      <c r="E508" t="s">
        <v>22</v>
      </c>
      <c r="F508">
        <v>4</v>
      </c>
      <c r="G508">
        <v>6.5</v>
      </c>
      <c r="H508">
        <v>26</v>
      </c>
    </row>
    <row r="509" spans="1:8" x14ac:dyDescent="0.2">
      <c r="A509">
        <v>1508</v>
      </c>
      <c r="B509" t="s">
        <v>50</v>
      </c>
      <c r="C509" t="s">
        <v>28</v>
      </c>
      <c r="D509" t="s">
        <v>29</v>
      </c>
      <c r="E509" t="s">
        <v>22</v>
      </c>
      <c r="F509">
        <v>5</v>
      </c>
      <c r="G509">
        <v>4.2</v>
      </c>
      <c r="H509">
        <v>21</v>
      </c>
    </row>
    <row r="510" spans="1:8" x14ac:dyDescent="0.2">
      <c r="A510">
        <v>1509</v>
      </c>
      <c r="B510" t="s">
        <v>144</v>
      </c>
      <c r="C510" t="s">
        <v>28</v>
      </c>
      <c r="D510" t="s">
        <v>43</v>
      </c>
      <c r="E510" t="s">
        <v>18</v>
      </c>
      <c r="F510">
        <v>4</v>
      </c>
      <c r="G510">
        <v>3.8</v>
      </c>
      <c r="H510">
        <v>15.2</v>
      </c>
    </row>
    <row r="511" spans="1:8" x14ac:dyDescent="0.2">
      <c r="A511">
        <v>1510</v>
      </c>
      <c r="B511" t="s">
        <v>12</v>
      </c>
      <c r="C511" t="s">
        <v>24</v>
      </c>
      <c r="D511" t="s">
        <v>43</v>
      </c>
      <c r="E511" t="s">
        <v>18</v>
      </c>
      <c r="F511">
        <v>3</v>
      </c>
      <c r="G511">
        <v>3.8</v>
      </c>
      <c r="H511">
        <v>11.4</v>
      </c>
    </row>
    <row r="512" spans="1:8" x14ac:dyDescent="0.2">
      <c r="A512">
        <v>1511</v>
      </c>
      <c r="B512" t="s">
        <v>16</v>
      </c>
      <c r="C512" t="s">
        <v>9</v>
      </c>
      <c r="D512" t="s">
        <v>47</v>
      </c>
      <c r="E512" t="s">
        <v>32</v>
      </c>
      <c r="F512">
        <v>3</v>
      </c>
      <c r="G512">
        <v>2.4</v>
      </c>
      <c r="H512">
        <v>7.2</v>
      </c>
    </row>
    <row r="513" spans="1:8" x14ac:dyDescent="0.2">
      <c r="A513">
        <v>1512</v>
      </c>
      <c r="B513" t="s">
        <v>54</v>
      </c>
      <c r="C513" t="s">
        <v>9</v>
      </c>
      <c r="D513" t="s">
        <v>43</v>
      </c>
      <c r="E513" t="s">
        <v>18</v>
      </c>
      <c r="F513">
        <v>5</v>
      </c>
      <c r="G513">
        <v>3.8</v>
      </c>
      <c r="H513">
        <v>19</v>
      </c>
    </row>
    <row r="514" spans="1:8" x14ac:dyDescent="0.2">
      <c r="A514">
        <v>1513</v>
      </c>
      <c r="B514" t="s">
        <v>74</v>
      </c>
      <c r="C514" t="s">
        <v>13</v>
      </c>
      <c r="D514" t="s">
        <v>47</v>
      </c>
      <c r="E514" t="s">
        <v>32</v>
      </c>
      <c r="F514">
        <v>3</v>
      </c>
      <c r="G514">
        <v>2.4</v>
      </c>
      <c r="H514">
        <v>7.2</v>
      </c>
    </row>
    <row r="515" spans="1:8" x14ac:dyDescent="0.2">
      <c r="A515">
        <v>1514</v>
      </c>
      <c r="B515" t="s">
        <v>110</v>
      </c>
      <c r="C515" t="s">
        <v>9</v>
      </c>
      <c r="D515" t="s">
        <v>31</v>
      </c>
      <c r="E515" t="s">
        <v>32</v>
      </c>
      <c r="F515">
        <v>1</v>
      </c>
      <c r="G515">
        <v>3</v>
      </c>
      <c r="H515">
        <v>3</v>
      </c>
    </row>
    <row r="516" spans="1:8" x14ac:dyDescent="0.2">
      <c r="A516">
        <v>1515</v>
      </c>
      <c r="B516" t="s">
        <v>61</v>
      </c>
      <c r="C516" t="s">
        <v>28</v>
      </c>
      <c r="D516" t="s">
        <v>43</v>
      </c>
      <c r="E516" t="s">
        <v>18</v>
      </c>
      <c r="F516">
        <v>1</v>
      </c>
      <c r="G516">
        <v>3.8</v>
      </c>
      <c r="H516">
        <v>3.8</v>
      </c>
    </row>
    <row r="517" spans="1:8" x14ac:dyDescent="0.2">
      <c r="A517">
        <v>1516</v>
      </c>
      <c r="B517" t="s">
        <v>155</v>
      </c>
      <c r="C517" t="s">
        <v>9</v>
      </c>
      <c r="D517" t="s">
        <v>29</v>
      </c>
      <c r="E517" t="s">
        <v>22</v>
      </c>
      <c r="F517">
        <v>5</v>
      </c>
      <c r="G517">
        <v>4.2</v>
      </c>
      <c r="H517">
        <v>21</v>
      </c>
    </row>
    <row r="518" spans="1:8" x14ac:dyDescent="0.2">
      <c r="A518">
        <v>1517</v>
      </c>
      <c r="B518" t="s">
        <v>138</v>
      </c>
      <c r="C518" t="s">
        <v>9</v>
      </c>
      <c r="D518" t="s">
        <v>10</v>
      </c>
      <c r="E518" t="s">
        <v>11</v>
      </c>
      <c r="F518">
        <v>3</v>
      </c>
      <c r="G518">
        <v>3.2</v>
      </c>
      <c r="H518">
        <v>9.6</v>
      </c>
    </row>
    <row r="519" spans="1:8" x14ac:dyDescent="0.2">
      <c r="A519">
        <v>1518</v>
      </c>
      <c r="B519" t="s">
        <v>68</v>
      </c>
      <c r="C519" t="s">
        <v>24</v>
      </c>
      <c r="D519" t="s">
        <v>21</v>
      </c>
      <c r="E519" t="s">
        <v>22</v>
      </c>
      <c r="F519">
        <v>1</v>
      </c>
      <c r="G519">
        <v>6.5</v>
      </c>
      <c r="H519">
        <v>6.5</v>
      </c>
    </row>
    <row r="520" spans="1:8" x14ac:dyDescent="0.2">
      <c r="A520">
        <v>1519</v>
      </c>
      <c r="B520" t="s">
        <v>192</v>
      </c>
      <c r="C520" t="s">
        <v>9</v>
      </c>
      <c r="D520" t="s">
        <v>43</v>
      </c>
      <c r="E520" t="s">
        <v>18</v>
      </c>
      <c r="F520">
        <v>6</v>
      </c>
      <c r="G520">
        <v>3.8</v>
      </c>
      <c r="H520">
        <v>22.8</v>
      </c>
    </row>
    <row r="521" spans="1:8" x14ac:dyDescent="0.2">
      <c r="A521">
        <v>1520</v>
      </c>
      <c r="B521" t="s">
        <v>157</v>
      </c>
      <c r="C521" t="s">
        <v>13</v>
      </c>
      <c r="D521" t="s">
        <v>25</v>
      </c>
      <c r="E521" t="s">
        <v>15</v>
      </c>
      <c r="F521">
        <v>6</v>
      </c>
      <c r="G521">
        <v>2.7</v>
      </c>
      <c r="H521">
        <v>16.2</v>
      </c>
    </row>
    <row r="522" spans="1:8" x14ac:dyDescent="0.2">
      <c r="A522">
        <v>1521</v>
      </c>
      <c r="B522" t="s">
        <v>61</v>
      </c>
      <c r="C522" t="s">
        <v>24</v>
      </c>
      <c r="D522" t="s">
        <v>29</v>
      </c>
      <c r="E522" t="s">
        <v>22</v>
      </c>
      <c r="F522">
        <v>6</v>
      </c>
      <c r="G522">
        <v>4.2</v>
      </c>
      <c r="H522">
        <v>25.2</v>
      </c>
    </row>
    <row r="523" spans="1:8" x14ac:dyDescent="0.2">
      <c r="A523">
        <v>1522</v>
      </c>
      <c r="B523" t="s">
        <v>120</v>
      </c>
      <c r="C523" t="s">
        <v>24</v>
      </c>
      <c r="D523" t="s">
        <v>29</v>
      </c>
      <c r="E523" t="s">
        <v>22</v>
      </c>
      <c r="F523">
        <v>5</v>
      </c>
      <c r="G523">
        <v>4.2</v>
      </c>
      <c r="H523">
        <v>21</v>
      </c>
    </row>
    <row r="524" spans="1:8" x14ac:dyDescent="0.2">
      <c r="A524">
        <v>1523</v>
      </c>
      <c r="B524" t="s">
        <v>118</v>
      </c>
      <c r="C524" t="s">
        <v>13</v>
      </c>
      <c r="D524" t="s">
        <v>34</v>
      </c>
      <c r="E524" t="s">
        <v>11</v>
      </c>
      <c r="F524">
        <v>4</v>
      </c>
      <c r="G524">
        <v>2.1</v>
      </c>
      <c r="H524">
        <v>8.4</v>
      </c>
    </row>
    <row r="525" spans="1:8" x14ac:dyDescent="0.2">
      <c r="A525">
        <v>1524</v>
      </c>
      <c r="B525" t="s">
        <v>83</v>
      </c>
      <c r="C525" t="s">
        <v>9</v>
      </c>
      <c r="D525" t="s">
        <v>31</v>
      </c>
      <c r="E525" t="s">
        <v>32</v>
      </c>
      <c r="F525">
        <v>1</v>
      </c>
      <c r="G525">
        <v>3</v>
      </c>
      <c r="H525">
        <v>3</v>
      </c>
    </row>
    <row r="526" spans="1:8" x14ac:dyDescent="0.2">
      <c r="A526">
        <v>1525</v>
      </c>
      <c r="B526" t="s">
        <v>98</v>
      </c>
      <c r="C526" t="s">
        <v>9</v>
      </c>
      <c r="D526" t="s">
        <v>21</v>
      </c>
      <c r="E526" t="s">
        <v>22</v>
      </c>
      <c r="F526">
        <v>3</v>
      </c>
      <c r="G526">
        <v>6.5</v>
      </c>
      <c r="H526">
        <v>19.5</v>
      </c>
    </row>
    <row r="527" spans="1:8" x14ac:dyDescent="0.2">
      <c r="A527">
        <v>1526</v>
      </c>
      <c r="B527" t="s">
        <v>103</v>
      </c>
      <c r="C527" t="s">
        <v>13</v>
      </c>
      <c r="D527" t="s">
        <v>29</v>
      </c>
      <c r="E527" t="s">
        <v>22</v>
      </c>
      <c r="F527">
        <v>3</v>
      </c>
      <c r="G527">
        <v>4.2</v>
      </c>
      <c r="H527">
        <v>12.6</v>
      </c>
    </row>
    <row r="528" spans="1:8" x14ac:dyDescent="0.2">
      <c r="A528">
        <v>1527</v>
      </c>
      <c r="B528" t="s">
        <v>53</v>
      </c>
      <c r="C528" t="s">
        <v>28</v>
      </c>
      <c r="D528" t="s">
        <v>21</v>
      </c>
      <c r="E528" t="s">
        <v>22</v>
      </c>
      <c r="F528">
        <v>6</v>
      </c>
      <c r="G528">
        <v>6.5</v>
      </c>
      <c r="H528">
        <v>39</v>
      </c>
    </row>
    <row r="529" spans="1:8" x14ac:dyDescent="0.2">
      <c r="A529">
        <v>1528</v>
      </c>
      <c r="B529" t="s">
        <v>37</v>
      </c>
      <c r="C529" t="s">
        <v>9</v>
      </c>
      <c r="D529" t="s">
        <v>29</v>
      </c>
      <c r="E529" t="s">
        <v>22</v>
      </c>
      <c r="F529">
        <v>4</v>
      </c>
      <c r="G529">
        <v>4.2</v>
      </c>
      <c r="H529">
        <v>16.8</v>
      </c>
    </row>
    <row r="530" spans="1:8" x14ac:dyDescent="0.2">
      <c r="A530">
        <v>1529</v>
      </c>
      <c r="B530" t="s">
        <v>189</v>
      </c>
      <c r="C530" t="s">
        <v>9</v>
      </c>
      <c r="D530" t="s">
        <v>25</v>
      </c>
      <c r="E530" t="s">
        <v>15</v>
      </c>
      <c r="F530">
        <v>2</v>
      </c>
      <c r="G530">
        <v>2.7</v>
      </c>
      <c r="H530">
        <v>5.4</v>
      </c>
    </row>
    <row r="531" spans="1:8" x14ac:dyDescent="0.2">
      <c r="A531">
        <v>1530</v>
      </c>
      <c r="B531" t="s">
        <v>153</v>
      </c>
      <c r="C531" t="s">
        <v>13</v>
      </c>
      <c r="D531" t="s">
        <v>21</v>
      </c>
      <c r="E531" t="s">
        <v>22</v>
      </c>
      <c r="F531">
        <v>2</v>
      </c>
      <c r="G531">
        <v>6.5</v>
      </c>
      <c r="H531">
        <v>13</v>
      </c>
    </row>
    <row r="532" spans="1:8" x14ac:dyDescent="0.2">
      <c r="A532">
        <v>1531</v>
      </c>
      <c r="B532" t="s">
        <v>16</v>
      </c>
      <c r="C532" t="s">
        <v>28</v>
      </c>
      <c r="D532" t="s">
        <v>31</v>
      </c>
      <c r="E532" t="s">
        <v>32</v>
      </c>
      <c r="F532">
        <v>4</v>
      </c>
      <c r="G532">
        <v>3</v>
      </c>
      <c r="H532">
        <v>12</v>
      </c>
    </row>
    <row r="533" spans="1:8" x14ac:dyDescent="0.2">
      <c r="A533">
        <v>1532</v>
      </c>
      <c r="B533" t="s">
        <v>64</v>
      </c>
      <c r="C533" t="s">
        <v>13</v>
      </c>
      <c r="D533" t="s">
        <v>10</v>
      </c>
      <c r="E533" t="s">
        <v>11</v>
      </c>
      <c r="F533">
        <v>1</v>
      </c>
      <c r="G533">
        <v>3.2</v>
      </c>
      <c r="H533">
        <v>3.2</v>
      </c>
    </row>
    <row r="534" spans="1:8" x14ac:dyDescent="0.2">
      <c r="A534">
        <v>1533</v>
      </c>
      <c r="B534" t="s">
        <v>138</v>
      </c>
      <c r="C534" t="s">
        <v>28</v>
      </c>
      <c r="D534" t="s">
        <v>34</v>
      </c>
      <c r="E534" t="s">
        <v>11</v>
      </c>
      <c r="F534">
        <v>1</v>
      </c>
      <c r="G534">
        <v>2.1</v>
      </c>
      <c r="H534">
        <v>2.1</v>
      </c>
    </row>
    <row r="535" spans="1:8" x14ac:dyDescent="0.2">
      <c r="A535">
        <v>1534</v>
      </c>
      <c r="B535" t="s">
        <v>73</v>
      </c>
      <c r="C535" t="s">
        <v>24</v>
      </c>
      <c r="D535" t="s">
        <v>10</v>
      </c>
      <c r="E535" t="s">
        <v>11</v>
      </c>
      <c r="F535">
        <v>6</v>
      </c>
      <c r="G535">
        <v>3.2</v>
      </c>
      <c r="H535">
        <v>19.2</v>
      </c>
    </row>
    <row r="536" spans="1:8" x14ac:dyDescent="0.2">
      <c r="A536">
        <v>1535</v>
      </c>
      <c r="B536" t="s">
        <v>194</v>
      </c>
      <c r="C536" t="s">
        <v>28</v>
      </c>
      <c r="D536" t="s">
        <v>25</v>
      </c>
      <c r="E536" t="s">
        <v>15</v>
      </c>
      <c r="F536">
        <v>4</v>
      </c>
      <c r="G536">
        <v>2.7</v>
      </c>
      <c r="H536">
        <v>10.8</v>
      </c>
    </row>
    <row r="537" spans="1:8" x14ac:dyDescent="0.2">
      <c r="A537">
        <v>1536</v>
      </c>
      <c r="B537" t="s">
        <v>187</v>
      </c>
      <c r="C537" t="s">
        <v>9</v>
      </c>
      <c r="D537" t="s">
        <v>34</v>
      </c>
      <c r="E537" t="s">
        <v>11</v>
      </c>
      <c r="F537">
        <v>4</v>
      </c>
      <c r="G537">
        <v>2.1</v>
      </c>
      <c r="H537">
        <v>8.4</v>
      </c>
    </row>
    <row r="538" spans="1:8" x14ac:dyDescent="0.2">
      <c r="A538">
        <v>1537</v>
      </c>
      <c r="B538" t="s">
        <v>112</v>
      </c>
      <c r="C538" t="s">
        <v>24</v>
      </c>
      <c r="D538" t="s">
        <v>10</v>
      </c>
      <c r="E538" t="s">
        <v>11</v>
      </c>
      <c r="F538">
        <v>1</v>
      </c>
      <c r="G538">
        <v>3.2</v>
      </c>
      <c r="H538">
        <v>3.2</v>
      </c>
    </row>
    <row r="539" spans="1:8" x14ac:dyDescent="0.2">
      <c r="A539">
        <v>1538</v>
      </c>
      <c r="B539" t="s">
        <v>155</v>
      </c>
      <c r="C539" t="s">
        <v>24</v>
      </c>
      <c r="D539" t="s">
        <v>29</v>
      </c>
      <c r="E539" t="s">
        <v>22</v>
      </c>
      <c r="F539">
        <v>3</v>
      </c>
      <c r="G539">
        <v>4.2</v>
      </c>
      <c r="H539">
        <v>12.6</v>
      </c>
    </row>
    <row r="540" spans="1:8" x14ac:dyDescent="0.2">
      <c r="A540">
        <v>1539</v>
      </c>
      <c r="B540" t="s">
        <v>89</v>
      </c>
      <c r="C540" t="s">
        <v>24</v>
      </c>
      <c r="D540" t="s">
        <v>34</v>
      </c>
      <c r="E540" t="s">
        <v>11</v>
      </c>
      <c r="F540">
        <v>3</v>
      </c>
      <c r="G540">
        <v>2.1</v>
      </c>
      <c r="H540">
        <v>6.3</v>
      </c>
    </row>
    <row r="541" spans="1:8" x14ac:dyDescent="0.2">
      <c r="A541">
        <v>1540</v>
      </c>
      <c r="B541" t="s">
        <v>100</v>
      </c>
      <c r="C541" t="s">
        <v>9</v>
      </c>
      <c r="D541" t="s">
        <v>29</v>
      </c>
      <c r="E541" t="s">
        <v>22</v>
      </c>
      <c r="F541">
        <v>5</v>
      </c>
      <c r="G541">
        <v>4.2</v>
      </c>
      <c r="H541">
        <v>21</v>
      </c>
    </row>
    <row r="542" spans="1:8" x14ac:dyDescent="0.2">
      <c r="A542">
        <v>1541</v>
      </c>
      <c r="B542" t="s">
        <v>185</v>
      </c>
      <c r="C542" t="s">
        <v>28</v>
      </c>
      <c r="D542" t="s">
        <v>29</v>
      </c>
      <c r="E542" t="s">
        <v>22</v>
      </c>
      <c r="F542">
        <v>4</v>
      </c>
      <c r="G542">
        <v>4.2</v>
      </c>
      <c r="H542">
        <v>16.8</v>
      </c>
    </row>
    <row r="543" spans="1:8" x14ac:dyDescent="0.2">
      <c r="A543">
        <v>1542</v>
      </c>
      <c r="B543" t="s">
        <v>141</v>
      </c>
      <c r="C543" t="s">
        <v>28</v>
      </c>
      <c r="D543" t="s">
        <v>21</v>
      </c>
      <c r="E543" t="s">
        <v>22</v>
      </c>
      <c r="F543">
        <v>4</v>
      </c>
      <c r="G543">
        <v>6.5</v>
      </c>
      <c r="H543">
        <v>26</v>
      </c>
    </row>
    <row r="544" spans="1:8" x14ac:dyDescent="0.2">
      <c r="A544">
        <v>1543</v>
      </c>
      <c r="B544" t="s">
        <v>199</v>
      </c>
      <c r="C544" t="s">
        <v>24</v>
      </c>
      <c r="D544" t="s">
        <v>31</v>
      </c>
      <c r="E544" t="s">
        <v>32</v>
      </c>
      <c r="F544">
        <v>2</v>
      </c>
      <c r="G544">
        <v>3</v>
      </c>
      <c r="H544">
        <v>6</v>
      </c>
    </row>
    <row r="545" spans="1:8" x14ac:dyDescent="0.2">
      <c r="A545">
        <v>1544</v>
      </c>
      <c r="B545" t="s">
        <v>36</v>
      </c>
      <c r="C545" t="s">
        <v>9</v>
      </c>
      <c r="D545" t="s">
        <v>29</v>
      </c>
      <c r="E545" t="s">
        <v>22</v>
      </c>
      <c r="F545">
        <v>1</v>
      </c>
      <c r="G545">
        <v>4.2</v>
      </c>
      <c r="H545">
        <v>4.2</v>
      </c>
    </row>
    <row r="546" spans="1:8" x14ac:dyDescent="0.2">
      <c r="A546">
        <v>1545</v>
      </c>
      <c r="B546" t="s">
        <v>142</v>
      </c>
      <c r="C546" t="s">
        <v>24</v>
      </c>
      <c r="D546" t="s">
        <v>10</v>
      </c>
      <c r="E546" t="s">
        <v>11</v>
      </c>
      <c r="F546">
        <v>5</v>
      </c>
      <c r="G546">
        <v>3.2</v>
      </c>
      <c r="H546">
        <v>16</v>
      </c>
    </row>
    <row r="547" spans="1:8" x14ac:dyDescent="0.2">
      <c r="A547">
        <v>1546</v>
      </c>
      <c r="B547" t="s">
        <v>132</v>
      </c>
      <c r="C547" t="s">
        <v>24</v>
      </c>
      <c r="D547" t="s">
        <v>25</v>
      </c>
      <c r="E547" t="s">
        <v>15</v>
      </c>
      <c r="F547">
        <v>4</v>
      </c>
      <c r="G547">
        <v>2.7</v>
      </c>
      <c r="H547">
        <v>10.8</v>
      </c>
    </row>
    <row r="548" spans="1:8" x14ac:dyDescent="0.2">
      <c r="A548">
        <v>1547</v>
      </c>
      <c r="B548" t="s">
        <v>75</v>
      </c>
      <c r="C548" t="s">
        <v>24</v>
      </c>
      <c r="D548" t="s">
        <v>17</v>
      </c>
      <c r="E548" t="s">
        <v>18</v>
      </c>
      <c r="F548">
        <v>3</v>
      </c>
      <c r="G548">
        <v>2.5</v>
      </c>
      <c r="H548">
        <v>7.5</v>
      </c>
    </row>
    <row r="549" spans="1:8" x14ac:dyDescent="0.2">
      <c r="A549">
        <v>1548</v>
      </c>
      <c r="B549" t="s">
        <v>116</v>
      </c>
      <c r="C549" t="s">
        <v>9</v>
      </c>
      <c r="D549" t="s">
        <v>25</v>
      </c>
      <c r="E549" t="s">
        <v>15</v>
      </c>
      <c r="F549">
        <v>4</v>
      </c>
      <c r="G549">
        <v>2.7</v>
      </c>
      <c r="H549">
        <v>10.8</v>
      </c>
    </row>
    <row r="550" spans="1:8" x14ac:dyDescent="0.2">
      <c r="A550">
        <v>1549</v>
      </c>
      <c r="B550" t="s">
        <v>41</v>
      </c>
      <c r="C550" t="s">
        <v>9</v>
      </c>
      <c r="D550" t="s">
        <v>29</v>
      </c>
      <c r="E550" t="s">
        <v>22</v>
      </c>
      <c r="F550">
        <v>5</v>
      </c>
      <c r="G550">
        <v>4.2</v>
      </c>
      <c r="H550">
        <v>21</v>
      </c>
    </row>
    <row r="551" spans="1:8" x14ac:dyDescent="0.2">
      <c r="A551">
        <v>1550</v>
      </c>
      <c r="B551" t="s">
        <v>159</v>
      </c>
      <c r="C551" t="s">
        <v>24</v>
      </c>
      <c r="D551" t="s">
        <v>43</v>
      </c>
      <c r="E551" t="s">
        <v>18</v>
      </c>
      <c r="F551">
        <v>3</v>
      </c>
      <c r="G551">
        <v>3.8</v>
      </c>
      <c r="H551">
        <v>11.4</v>
      </c>
    </row>
    <row r="552" spans="1:8" x14ac:dyDescent="0.2">
      <c r="A552">
        <v>1551</v>
      </c>
      <c r="B552" t="s">
        <v>177</v>
      </c>
      <c r="C552" t="s">
        <v>24</v>
      </c>
      <c r="D552" t="s">
        <v>14</v>
      </c>
      <c r="E552" t="s">
        <v>15</v>
      </c>
      <c r="F552">
        <v>3</v>
      </c>
      <c r="G552">
        <v>2</v>
      </c>
      <c r="H552">
        <v>6</v>
      </c>
    </row>
    <row r="553" spans="1:8" x14ac:dyDescent="0.2">
      <c r="A553">
        <v>1552</v>
      </c>
      <c r="B553" t="s">
        <v>110</v>
      </c>
      <c r="C553" t="s">
        <v>24</v>
      </c>
      <c r="D553" t="s">
        <v>31</v>
      </c>
      <c r="E553" t="s">
        <v>32</v>
      </c>
      <c r="F553">
        <v>5</v>
      </c>
      <c r="G553">
        <v>3</v>
      </c>
      <c r="H553">
        <v>15</v>
      </c>
    </row>
    <row r="554" spans="1:8" x14ac:dyDescent="0.2">
      <c r="A554">
        <v>1553</v>
      </c>
      <c r="B554" t="s">
        <v>175</v>
      </c>
      <c r="C554" t="s">
        <v>13</v>
      </c>
      <c r="D554" t="s">
        <v>31</v>
      </c>
      <c r="E554" t="s">
        <v>32</v>
      </c>
      <c r="F554">
        <v>1</v>
      </c>
      <c r="G554">
        <v>3</v>
      </c>
      <c r="H554">
        <v>3</v>
      </c>
    </row>
    <row r="555" spans="1:8" x14ac:dyDescent="0.2">
      <c r="A555">
        <v>1554</v>
      </c>
      <c r="B555" t="s">
        <v>115</v>
      </c>
      <c r="C555" t="s">
        <v>13</v>
      </c>
      <c r="D555" t="s">
        <v>47</v>
      </c>
      <c r="E555" t="s">
        <v>32</v>
      </c>
      <c r="F555">
        <v>6</v>
      </c>
      <c r="G555">
        <v>2.4</v>
      </c>
      <c r="H555">
        <v>14.4</v>
      </c>
    </row>
    <row r="556" spans="1:8" x14ac:dyDescent="0.2">
      <c r="A556">
        <v>1555</v>
      </c>
      <c r="B556" t="s">
        <v>75</v>
      </c>
      <c r="C556" t="s">
        <v>9</v>
      </c>
      <c r="D556" t="s">
        <v>17</v>
      </c>
      <c r="E556" t="s">
        <v>18</v>
      </c>
      <c r="F556">
        <v>4</v>
      </c>
      <c r="G556">
        <v>2.5</v>
      </c>
      <c r="H556">
        <v>10</v>
      </c>
    </row>
    <row r="557" spans="1:8" x14ac:dyDescent="0.2">
      <c r="A557">
        <v>1556</v>
      </c>
      <c r="B557" t="s">
        <v>128</v>
      </c>
      <c r="C557" t="s">
        <v>28</v>
      </c>
      <c r="D557" t="s">
        <v>14</v>
      </c>
      <c r="E557" t="s">
        <v>15</v>
      </c>
      <c r="F557">
        <v>1</v>
      </c>
      <c r="G557">
        <v>2</v>
      </c>
      <c r="H557">
        <v>2</v>
      </c>
    </row>
    <row r="558" spans="1:8" x14ac:dyDescent="0.2">
      <c r="A558">
        <v>1557</v>
      </c>
      <c r="B558" t="s">
        <v>136</v>
      </c>
      <c r="C558" t="s">
        <v>13</v>
      </c>
      <c r="D558" t="s">
        <v>10</v>
      </c>
      <c r="E558" t="s">
        <v>11</v>
      </c>
      <c r="F558">
        <v>4</v>
      </c>
      <c r="G558">
        <v>3.2</v>
      </c>
      <c r="H558">
        <v>12.8</v>
      </c>
    </row>
    <row r="559" spans="1:8" x14ac:dyDescent="0.2">
      <c r="A559">
        <v>1558</v>
      </c>
      <c r="B559" t="s">
        <v>165</v>
      </c>
      <c r="C559" t="s">
        <v>28</v>
      </c>
      <c r="D559" t="s">
        <v>17</v>
      </c>
      <c r="E559" t="s">
        <v>18</v>
      </c>
      <c r="F559">
        <v>1</v>
      </c>
      <c r="G559">
        <v>2.5</v>
      </c>
      <c r="H559">
        <v>2.5</v>
      </c>
    </row>
    <row r="560" spans="1:8" x14ac:dyDescent="0.2">
      <c r="A560">
        <v>1559</v>
      </c>
      <c r="B560" t="s">
        <v>196</v>
      </c>
      <c r="C560" t="s">
        <v>13</v>
      </c>
      <c r="D560" t="s">
        <v>34</v>
      </c>
      <c r="E560" t="s">
        <v>11</v>
      </c>
      <c r="F560">
        <v>1</v>
      </c>
      <c r="G560">
        <v>2.1</v>
      </c>
      <c r="H560">
        <v>2.1</v>
      </c>
    </row>
    <row r="561" spans="1:8" x14ac:dyDescent="0.2">
      <c r="A561">
        <v>1560</v>
      </c>
      <c r="B561" t="s">
        <v>85</v>
      </c>
      <c r="C561" t="s">
        <v>13</v>
      </c>
      <c r="D561" t="s">
        <v>10</v>
      </c>
      <c r="E561" t="s">
        <v>11</v>
      </c>
      <c r="F561">
        <v>2</v>
      </c>
      <c r="G561">
        <v>3.2</v>
      </c>
      <c r="H561">
        <v>6.4</v>
      </c>
    </row>
    <row r="562" spans="1:8" x14ac:dyDescent="0.2">
      <c r="A562">
        <v>1561</v>
      </c>
      <c r="B562" t="s">
        <v>121</v>
      </c>
      <c r="C562" t="s">
        <v>28</v>
      </c>
      <c r="D562" t="s">
        <v>29</v>
      </c>
      <c r="E562" t="s">
        <v>22</v>
      </c>
      <c r="F562">
        <v>3</v>
      </c>
      <c r="G562">
        <v>4.2</v>
      </c>
      <c r="H562">
        <v>12.6</v>
      </c>
    </row>
    <row r="563" spans="1:8" x14ac:dyDescent="0.2">
      <c r="A563">
        <v>1562</v>
      </c>
      <c r="B563" t="s">
        <v>193</v>
      </c>
      <c r="C563" t="s">
        <v>24</v>
      </c>
      <c r="D563" t="s">
        <v>29</v>
      </c>
      <c r="E563" t="s">
        <v>22</v>
      </c>
      <c r="F563">
        <v>6</v>
      </c>
      <c r="G563">
        <v>4.2</v>
      </c>
      <c r="H563">
        <v>25.2</v>
      </c>
    </row>
    <row r="564" spans="1:8" x14ac:dyDescent="0.2">
      <c r="A564">
        <v>1563</v>
      </c>
      <c r="B564" t="s">
        <v>173</v>
      </c>
      <c r="C564" t="s">
        <v>13</v>
      </c>
      <c r="D564" t="s">
        <v>43</v>
      </c>
      <c r="E564" t="s">
        <v>18</v>
      </c>
      <c r="F564">
        <v>4</v>
      </c>
      <c r="G564">
        <v>3.8</v>
      </c>
      <c r="H564">
        <v>15.2</v>
      </c>
    </row>
    <row r="565" spans="1:8" x14ac:dyDescent="0.2">
      <c r="A565">
        <v>1564</v>
      </c>
      <c r="B565" t="s">
        <v>99</v>
      </c>
      <c r="C565" t="s">
        <v>24</v>
      </c>
      <c r="D565" t="s">
        <v>21</v>
      </c>
      <c r="E565" t="s">
        <v>22</v>
      </c>
      <c r="F565">
        <v>4</v>
      </c>
      <c r="G565">
        <v>6.5</v>
      </c>
      <c r="H565">
        <v>26</v>
      </c>
    </row>
    <row r="566" spans="1:8" x14ac:dyDescent="0.2">
      <c r="A566">
        <v>1565</v>
      </c>
      <c r="B566" t="s">
        <v>94</v>
      </c>
      <c r="C566" t="s">
        <v>13</v>
      </c>
      <c r="D566" t="s">
        <v>29</v>
      </c>
      <c r="E566" t="s">
        <v>22</v>
      </c>
      <c r="F566">
        <v>1</v>
      </c>
      <c r="G566">
        <v>4.2</v>
      </c>
      <c r="H566">
        <v>4.2</v>
      </c>
    </row>
    <row r="567" spans="1:8" x14ac:dyDescent="0.2">
      <c r="A567">
        <v>1566</v>
      </c>
      <c r="B567" t="s">
        <v>200</v>
      </c>
      <c r="C567" t="s">
        <v>24</v>
      </c>
      <c r="D567" t="s">
        <v>14</v>
      </c>
      <c r="E567" t="s">
        <v>15</v>
      </c>
      <c r="F567">
        <v>6</v>
      </c>
      <c r="G567">
        <v>2</v>
      </c>
      <c r="H567">
        <v>12</v>
      </c>
    </row>
    <row r="568" spans="1:8" x14ac:dyDescent="0.2">
      <c r="A568">
        <v>1567</v>
      </c>
      <c r="B568" t="s">
        <v>106</v>
      </c>
      <c r="C568" t="s">
        <v>24</v>
      </c>
      <c r="D568" t="s">
        <v>25</v>
      </c>
      <c r="E568" t="s">
        <v>15</v>
      </c>
      <c r="F568">
        <v>6</v>
      </c>
      <c r="G568">
        <v>2.7</v>
      </c>
      <c r="H568">
        <v>16.2</v>
      </c>
    </row>
    <row r="569" spans="1:8" x14ac:dyDescent="0.2">
      <c r="A569">
        <v>1568</v>
      </c>
      <c r="B569" t="s">
        <v>177</v>
      </c>
      <c r="C569" t="s">
        <v>28</v>
      </c>
      <c r="D569" t="s">
        <v>10</v>
      </c>
      <c r="E569" t="s">
        <v>11</v>
      </c>
      <c r="F569">
        <v>4</v>
      </c>
      <c r="G569">
        <v>3.2</v>
      </c>
      <c r="H569">
        <v>12.8</v>
      </c>
    </row>
    <row r="570" spans="1:8" x14ac:dyDescent="0.2">
      <c r="A570">
        <v>1569</v>
      </c>
      <c r="B570" t="s">
        <v>123</v>
      </c>
      <c r="C570" t="s">
        <v>24</v>
      </c>
      <c r="D570" t="s">
        <v>21</v>
      </c>
      <c r="E570" t="s">
        <v>22</v>
      </c>
      <c r="F570">
        <v>5</v>
      </c>
      <c r="G570">
        <v>6.5</v>
      </c>
      <c r="H570">
        <v>32.5</v>
      </c>
    </row>
    <row r="571" spans="1:8" x14ac:dyDescent="0.2">
      <c r="A571">
        <v>1570</v>
      </c>
      <c r="B571" t="s">
        <v>107</v>
      </c>
      <c r="C571" t="s">
        <v>9</v>
      </c>
      <c r="D571" t="s">
        <v>25</v>
      </c>
      <c r="E571" t="s">
        <v>15</v>
      </c>
      <c r="F571">
        <v>6</v>
      </c>
      <c r="G571">
        <v>2.7</v>
      </c>
      <c r="H571">
        <v>16.2</v>
      </c>
    </row>
    <row r="572" spans="1:8" x14ac:dyDescent="0.2">
      <c r="A572">
        <v>1571</v>
      </c>
      <c r="B572" t="s">
        <v>99</v>
      </c>
      <c r="C572" t="s">
        <v>24</v>
      </c>
      <c r="D572" t="s">
        <v>25</v>
      </c>
      <c r="E572" t="s">
        <v>15</v>
      </c>
      <c r="F572">
        <v>5</v>
      </c>
      <c r="G572">
        <v>2.7</v>
      </c>
      <c r="H572">
        <v>13.5</v>
      </c>
    </row>
    <row r="573" spans="1:8" x14ac:dyDescent="0.2">
      <c r="A573">
        <v>1572</v>
      </c>
      <c r="B573" t="s">
        <v>176</v>
      </c>
      <c r="C573" t="s">
        <v>28</v>
      </c>
      <c r="D573" t="s">
        <v>10</v>
      </c>
      <c r="E573" t="s">
        <v>11</v>
      </c>
      <c r="F573">
        <v>2</v>
      </c>
      <c r="G573">
        <v>3.2</v>
      </c>
      <c r="H573">
        <v>6.4</v>
      </c>
    </row>
    <row r="574" spans="1:8" x14ac:dyDescent="0.2">
      <c r="A574">
        <v>1573</v>
      </c>
      <c r="B574" t="s">
        <v>26</v>
      </c>
      <c r="C574" t="s">
        <v>13</v>
      </c>
      <c r="D574" t="s">
        <v>17</v>
      </c>
      <c r="E574" t="s">
        <v>18</v>
      </c>
      <c r="F574">
        <v>6</v>
      </c>
      <c r="G574">
        <v>2.5</v>
      </c>
      <c r="H574">
        <v>15</v>
      </c>
    </row>
    <row r="575" spans="1:8" x14ac:dyDescent="0.2">
      <c r="A575">
        <v>1574</v>
      </c>
      <c r="B575" t="s">
        <v>189</v>
      </c>
      <c r="C575" t="s">
        <v>24</v>
      </c>
      <c r="D575" t="s">
        <v>47</v>
      </c>
      <c r="E575" t="s">
        <v>32</v>
      </c>
      <c r="F575">
        <v>3</v>
      </c>
      <c r="G575">
        <v>2.4</v>
      </c>
      <c r="H575">
        <v>7.2</v>
      </c>
    </row>
    <row r="576" spans="1:8" x14ac:dyDescent="0.2">
      <c r="A576">
        <v>1575</v>
      </c>
      <c r="B576" t="s">
        <v>52</v>
      </c>
      <c r="C576" t="s">
        <v>9</v>
      </c>
      <c r="D576" t="s">
        <v>31</v>
      </c>
      <c r="E576" t="s">
        <v>32</v>
      </c>
      <c r="F576">
        <v>6</v>
      </c>
      <c r="G576">
        <v>3</v>
      </c>
      <c r="H576">
        <v>18</v>
      </c>
    </row>
    <row r="577" spans="1:8" x14ac:dyDescent="0.2">
      <c r="A577">
        <v>1576</v>
      </c>
      <c r="B577" t="s">
        <v>201</v>
      </c>
      <c r="C577" t="s">
        <v>28</v>
      </c>
      <c r="D577" t="s">
        <v>34</v>
      </c>
      <c r="E577" t="s">
        <v>11</v>
      </c>
      <c r="F577">
        <v>4</v>
      </c>
      <c r="G577">
        <v>2.1</v>
      </c>
      <c r="H577">
        <v>8.4</v>
      </c>
    </row>
    <row r="578" spans="1:8" x14ac:dyDescent="0.2">
      <c r="A578">
        <v>1577</v>
      </c>
      <c r="B578" t="s">
        <v>53</v>
      </c>
      <c r="C578" t="s">
        <v>9</v>
      </c>
      <c r="D578" t="s">
        <v>31</v>
      </c>
      <c r="E578" t="s">
        <v>32</v>
      </c>
      <c r="F578">
        <v>6</v>
      </c>
      <c r="G578">
        <v>3</v>
      </c>
      <c r="H578">
        <v>18</v>
      </c>
    </row>
    <row r="579" spans="1:8" x14ac:dyDescent="0.2">
      <c r="A579">
        <v>1578</v>
      </c>
      <c r="B579" t="s">
        <v>154</v>
      </c>
      <c r="C579" t="s">
        <v>28</v>
      </c>
      <c r="D579" t="s">
        <v>21</v>
      </c>
      <c r="E579" t="s">
        <v>22</v>
      </c>
      <c r="F579">
        <v>5</v>
      </c>
      <c r="G579">
        <v>6.5</v>
      </c>
      <c r="H579">
        <v>32.5</v>
      </c>
    </row>
    <row r="580" spans="1:8" x14ac:dyDescent="0.2">
      <c r="A580">
        <v>1579</v>
      </c>
      <c r="B580" t="s">
        <v>137</v>
      </c>
      <c r="C580" t="s">
        <v>24</v>
      </c>
      <c r="D580" t="s">
        <v>10</v>
      </c>
      <c r="E580" t="s">
        <v>11</v>
      </c>
      <c r="F580">
        <v>4</v>
      </c>
      <c r="G580">
        <v>3.2</v>
      </c>
      <c r="H580">
        <v>12.8</v>
      </c>
    </row>
    <row r="581" spans="1:8" x14ac:dyDescent="0.2">
      <c r="A581">
        <v>1580</v>
      </c>
      <c r="B581" t="s">
        <v>26</v>
      </c>
      <c r="C581" t="s">
        <v>13</v>
      </c>
      <c r="D581" t="s">
        <v>47</v>
      </c>
      <c r="E581" t="s">
        <v>32</v>
      </c>
      <c r="F581">
        <v>4</v>
      </c>
      <c r="G581">
        <v>2.4</v>
      </c>
      <c r="H581">
        <v>9.6</v>
      </c>
    </row>
    <row r="582" spans="1:8" x14ac:dyDescent="0.2">
      <c r="A582">
        <v>1581</v>
      </c>
      <c r="B582" t="s">
        <v>140</v>
      </c>
      <c r="C582" t="s">
        <v>24</v>
      </c>
      <c r="D582" t="s">
        <v>34</v>
      </c>
      <c r="E582" t="s">
        <v>11</v>
      </c>
      <c r="F582">
        <v>4</v>
      </c>
      <c r="G582">
        <v>2.1</v>
      </c>
      <c r="H582">
        <v>8.4</v>
      </c>
    </row>
    <row r="583" spans="1:8" x14ac:dyDescent="0.2">
      <c r="A583">
        <v>1582</v>
      </c>
      <c r="B583" t="s">
        <v>187</v>
      </c>
      <c r="C583" t="s">
        <v>9</v>
      </c>
      <c r="D583" t="s">
        <v>34</v>
      </c>
      <c r="E583" t="s">
        <v>11</v>
      </c>
      <c r="F583">
        <v>3</v>
      </c>
      <c r="G583">
        <v>2.1</v>
      </c>
      <c r="H583">
        <v>6.3</v>
      </c>
    </row>
    <row r="584" spans="1:8" x14ac:dyDescent="0.2">
      <c r="A584">
        <v>1583</v>
      </c>
      <c r="B584" t="s">
        <v>134</v>
      </c>
      <c r="C584" t="s">
        <v>28</v>
      </c>
      <c r="D584" t="s">
        <v>21</v>
      </c>
      <c r="E584" t="s">
        <v>22</v>
      </c>
      <c r="F584">
        <v>6</v>
      </c>
      <c r="G584">
        <v>6.5</v>
      </c>
      <c r="H584">
        <v>39</v>
      </c>
    </row>
    <row r="585" spans="1:8" x14ac:dyDescent="0.2">
      <c r="A585">
        <v>1584</v>
      </c>
      <c r="B585" t="s">
        <v>161</v>
      </c>
      <c r="C585" t="s">
        <v>24</v>
      </c>
      <c r="D585" t="s">
        <v>25</v>
      </c>
      <c r="E585" t="s">
        <v>15</v>
      </c>
      <c r="F585">
        <v>5</v>
      </c>
      <c r="G585">
        <v>2.7</v>
      </c>
      <c r="H585">
        <v>13.5</v>
      </c>
    </row>
    <row r="586" spans="1:8" x14ac:dyDescent="0.2">
      <c r="A586">
        <v>1585</v>
      </c>
      <c r="B586" t="s">
        <v>157</v>
      </c>
      <c r="C586" t="s">
        <v>13</v>
      </c>
      <c r="D586" t="s">
        <v>43</v>
      </c>
      <c r="E586" t="s">
        <v>18</v>
      </c>
      <c r="F586">
        <v>1</v>
      </c>
      <c r="G586">
        <v>3.8</v>
      </c>
      <c r="H586">
        <v>3.8</v>
      </c>
    </row>
    <row r="587" spans="1:8" x14ac:dyDescent="0.2">
      <c r="A587">
        <v>1586</v>
      </c>
      <c r="B587" t="s">
        <v>131</v>
      </c>
      <c r="C587" t="s">
        <v>9</v>
      </c>
      <c r="D587" t="s">
        <v>43</v>
      </c>
      <c r="E587" t="s">
        <v>18</v>
      </c>
      <c r="F587">
        <v>3</v>
      </c>
      <c r="G587">
        <v>3.8</v>
      </c>
      <c r="H587">
        <v>11.4</v>
      </c>
    </row>
    <row r="588" spans="1:8" x14ac:dyDescent="0.2">
      <c r="A588">
        <v>1587</v>
      </c>
      <c r="B588" t="s">
        <v>177</v>
      </c>
      <c r="C588" t="s">
        <v>13</v>
      </c>
      <c r="D588" t="s">
        <v>31</v>
      </c>
      <c r="E588" t="s">
        <v>32</v>
      </c>
      <c r="F588">
        <v>2</v>
      </c>
      <c r="G588">
        <v>3</v>
      </c>
      <c r="H588">
        <v>6</v>
      </c>
    </row>
    <row r="589" spans="1:8" x14ac:dyDescent="0.2">
      <c r="A589">
        <v>1588</v>
      </c>
      <c r="B589" t="s">
        <v>113</v>
      </c>
      <c r="C589" t="s">
        <v>28</v>
      </c>
      <c r="D589" t="s">
        <v>10</v>
      </c>
      <c r="E589" t="s">
        <v>11</v>
      </c>
      <c r="F589">
        <v>6</v>
      </c>
      <c r="G589">
        <v>3.2</v>
      </c>
      <c r="H589">
        <v>19.2</v>
      </c>
    </row>
    <row r="590" spans="1:8" x14ac:dyDescent="0.2">
      <c r="A590">
        <v>1589</v>
      </c>
      <c r="B590" t="s">
        <v>35</v>
      </c>
      <c r="C590" t="s">
        <v>9</v>
      </c>
      <c r="D590" t="s">
        <v>17</v>
      </c>
      <c r="E590" t="s">
        <v>18</v>
      </c>
      <c r="F590">
        <v>1</v>
      </c>
      <c r="G590">
        <v>2.5</v>
      </c>
      <c r="H590">
        <v>2.5</v>
      </c>
    </row>
    <row r="591" spans="1:8" x14ac:dyDescent="0.2">
      <c r="A591">
        <v>1590</v>
      </c>
      <c r="B591" t="s">
        <v>16</v>
      </c>
      <c r="C591" t="s">
        <v>24</v>
      </c>
      <c r="D591" t="s">
        <v>10</v>
      </c>
      <c r="E591" t="s">
        <v>11</v>
      </c>
      <c r="F591">
        <v>5</v>
      </c>
      <c r="G591">
        <v>3.2</v>
      </c>
      <c r="H591">
        <v>16</v>
      </c>
    </row>
    <row r="592" spans="1:8" x14ac:dyDescent="0.2">
      <c r="A592">
        <v>1591</v>
      </c>
      <c r="B592" t="s">
        <v>118</v>
      </c>
      <c r="C592" t="s">
        <v>24</v>
      </c>
      <c r="D592" t="s">
        <v>31</v>
      </c>
      <c r="E592" t="s">
        <v>32</v>
      </c>
      <c r="F592">
        <v>6</v>
      </c>
      <c r="G592">
        <v>3</v>
      </c>
      <c r="H592">
        <v>18</v>
      </c>
    </row>
    <row r="593" spans="1:8" x14ac:dyDescent="0.2">
      <c r="A593">
        <v>1592</v>
      </c>
      <c r="B593" t="s">
        <v>95</v>
      </c>
      <c r="C593" t="s">
        <v>9</v>
      </c>
      <c r="D593" t="s">
        <v>17</v>
      </c>
      <c r="E593" t="s">
        <v>18</v>
      </c>
      <c r="F593">
        <v>2</v>
      </c>
      <c r="G593">
        <v>2.5</v>
      </c>
      <c r="H593">
        <v>5</v>
      </c>
    </row>
    <row r="594" spans="1:8" x14ac:dyDescent="0.2">
      <c r="A594">
        <v>1593</v>
      </c>
      <c r="B594" t="s">
        <v>88</v>
      </c>
      <c r="C594" t="s">
        <v>9</v>
      </c>
      <c r="D594" t="s">
        <v>17</v>
      </c>
      <c r="E594" t="s">
        <v>18</v>
      </c>
      <c r="F594">
        <v>6</v>
      </c>
      <c r="G594">
        <v>2.5</v>
      </c>
      <c r="H594">
        <v>15</v>
      </c>
    </row>
    <row r="595" spans="1:8" x14ac:dyDescent="0.2">
      <c r="A595">
        <v>1594</v>
      </c>
      <c r="B595" t="s">
        <v>190</v>
      </c>
      <c r="C595" t="s">
        <v>28</v>
      </c>
      <c r="D595" t="s">
        <v>34</v>
      </c>
      <c r="E595" t="s">
        <v>11</v>
      </c>
      <c r="F595">
        <v>2</v>
      </c>
      <c r="G595">
        <v>2.1</v>
      </c>
      <c r="H595">
        <v>4.2</v>
      </c>
    </row>
    <row r="596" spans="1:8" x14ac:dyDescent="0.2">
      <c r="A596">
        <v>1595</v>
      </c>
      <c r="B596" t="s">
        <v>153</v>
      </c>
      <c r="C596" t="s">
        <v>9</v>
      </c>
      <c r="D596" t="s">
        <v>17</v>
      </c>
      <c r="E596" t="s">
        <v>18</v>
      </c>
      <c r="F596">
        <v>5</v>
      </c>
      <c r="G596">
        <v>2.5</v>
      </c>
      <c r="H596">
        <v>12.5</v>
      </c>
    </row>
    <row r="597" spans="1:8" x14ac:dyDescent="0.2">
      <c r="A597">
        <v>1596</v>
      </c>
      <c r="B597" t="s">
        <v>58</v>
      </c>
      <c r="C597" t="s">
        <v>9</v>
      </c>
      <c r="D597" t="s">
        <v>34</v>
      </c>
      <c r="E597" t="s">
        <v>11</v>
      </c>
      <c r="F597">
        <v>2</v>
      </c>
      <c r="G597">
        <v>2.1</v>
      </c>
      <c r="H597">
        <v>4.2</v>
      </c>
    </row>
    <row r="598" spans="1:8" x14ac:dyDescent="0.2">
      <c r="A598">
        <v>1597</v>
      </c>
      <c r="B598" t="s">
        <v>8</v>
      </c>
      <c r="C598" t="s">
        <v>13</v>
      </c>
      <c r="D598" t="s">
        <v>47</v>
      </c>
      <c r="E598" t="s">
        <v>32</v>
      </c>
      <c r="F598">
        <v>1</v>
      </c>
      <c r="G598">
        <v>2.4</v>
      </c>
      <c r="H598">
        <v>2.4</v>
      </c>
    </row>
    <row r="599" spans="1:8" x14ac:dyDescent="0.2">
      <c r="A599">
        <v>1598</v>
      </c>
      <c r="B599" t="s">
        <v>153</v>
      </c>
      <c r="C599" t="s">
        <v>9</v>
      </c>
      <c r="D599" t="s">
        <v>47</v>
      </c>
      <c r="E599" t="s">
        <v>32</v>
      </c>
      <c r="F599">
        <v>5</v>
      </c>
      <c r="G599">
        <v>2.4</v>
      </c>
      <c r="H599">
        <v>12</v>
      </c>
    </row>
    <row r="600" spans="1:8" x14ac:dyDescent="0.2">
      <c r="A600">
        <v>1599</v>
      </c>
      <c r="B600" t="s">
        <v>169</v>
      </c>
      <c r="C600" t="s">
        <v>9</v>
      </c>
      <c r="D600" t="s">
        <v>17</v>
      </c>
      <c r="E600" t="s">
        <v>18</v>
      </c>
      <c r="F600">
        <v>4</v>
      </c>
      <c r="G600">
        <v>2.5</v>
      </c>
      <c r="H600">
        <v>10</v>
      </c>
    </row>
    <row r="601" spans="1:8" x14ac:dyDescent="0.2">
      <c r="A601">
        <v>1600</v>
      </c>
      <c r="B601" t="s">
        <v>16</v>
      </c>
      <c r="C601" t="s">
        <v>24</v>
      </c>
      <c r="D601" t="s">
        <v>10</v>
      </c>
      <c r="E601" t="s">
        <v>11</v>
      </c>
      <c r="F601">
        <v>1</v>
      </c>
      <c r="G601">
        <v>3.2</v>
      </c>
      <c r="H601">
        <v>3.2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6B7-EA0B-7049-8A18-E99694ACFBC3}">
  <dimension ref="A2:L192"/>
  <sheetViews>
    <sheetView workbookViewId="0">
      <selection activeCell="H4" sqref="H4"/>
    </sheetView>
  </sheetViews>
  <sheetFormatPr baseColWidth="10" defaultRowHeight="15" x14ac:dyDescent="0.2"/>
  <cols>
    <col min="1" max="1" width="12.1640625" bestFit="1" customWidth="1"/>
    <col min="2" max="2" width="13.5" bestFit="1" customWidth="1"/>
    <col min="5" max="5" width="16" customWidth="1"/>
  </cols>
  <sheetData>
    <row r="2" spans="1:5" x14ac:dyDescent="0.2">
      <c r="A2" t="s">
        <v>205</v>
      </c>
      <c r="D2" s="2" t="s">
        <v>206</v>
      </c>
    </row>
    <row r="3" spans="1:5" x14ac:dyDescent="0.2">
      <c r="A3" s="1" t="s">
        <v>202</v>
      </c>
      <c r="B3" t="s">
        <v>204</v>
      </c>
      <c r="D3" s="1" t="s">
        <v>202</v>
      </c>
      <c r="E3" t="s">
        <v>204</v>
      </c>
    </row>
    <row r="4" spans="1:5" x14ac:dyDescent="0.2">
      <c r="A4" s="2" t="s">
        <v>24</v>
      </c>
      <c r="B4" s="3">
        <v>1785.8999999999999</v>
      </c>
      <c r="D4" s="2" t="s">
        <v>15</v>
      </c>
      <c r="E4" s="3">
        <v>1078.3000000000002</v>
      </c>
    </row>
    <row r="5" spans="1:5" x14ac:dyDescent="0.2">
      <c r="A5" s="2" t="s">
        <v>9</v>
      </c>
      <c r="B5" s="3">
        <v>1685.8000000000004</v>
      </c>
      <c r="D5" s="2" t="s">
        <v>11</v>
      </c>
      <c r="E5" s="3">
        <v>1203.7000000000005</v>
      </c>
    </row>
    <row r="6" spans="1:5" x14ac:dyDescent="0.2">
      <c r="A6" s="2" t="s">
        <v>13</v>
      </c>
      <c r="B6" s="3">
        <v>1616.5000000000002</v>
      </c>
      <c r="D6" s="2" t="s">
        <v>18</v>
      </c>
      <c r="E6" s="3">
        <v>1298.7</v>
      </c>
    </row>
    <row r="7" spans="1:5" x14ac:dyDescent="0.2">
      <c r="A7" s="2" t="s">
        <v>28</v>
      </c>
      <c r="B7" s="3">
        <v>1711.3999999999996</v>
      </c>
      <c r="D7" s="2" t="s">
        <v>32</v>
      </c>
      <c r="E7" s="3">
        <v>1107</v>
      </c>
    </row>
    <row r="8" spans="1:5" x14ac:dyDescent="0.2">
      <c r="A8" s="2" t="s">
        <v>203</v>
      </c>
      <c r="B8" s="3">
        <v>6799.6</v>
      </c>
      <c r="D8" s="2" t="s">
        <v>22</v>
      </c>
      <c r="E8" s="3">
        <v>2111.8999999999996</v>
      </c>
    </row>
    <row r="9" spans="1:5" x14ac:dyDescent="0.2">
      <c r="D9" s="2" t="s">
        <v>203</v>
      </c>
      <c r="E9" s="3">
        <v>6799.6</v>
      </c>
    </row>
    <row r="12" spans="1:5" x14ac:dyDescent="0.2">
      <c r="A12" s="2" t="s">
        <v>207</v>
      </c>
      <c r="D12" s="2" t="s">
        <v>208</v>
      </c>
    </row>
    <row r="13" spans="1:5" x14ac:dyDescent="0.2">
      <c r="A13" s="1" t="s">
        <v>202</v>
      </c>
      <c r="B13" t="s">
        <v>204</v>
      </c>
      <c r="D13" s="1" t="s">
        <v>202</v>
      </c>
      <c r="E13" t="s">
        <v>204</v>
      </c>
    </row>
    <row r="14" spans="1:5" x14ac:dyDescent="0.2">
      <c r="A14" s="2" t="s">
        <v>26</v>
      </c>
      <c r="B14" s="3">
        <v>137.30000000000001</v>
      </c>
      <c r="D14" s="2" t="s">
        <v>31</v>
      </c>
      <c r="E14" s="3">
        <v>627</v>
      </c>
    </row>
    <row r="15" spans="1:5" x14ac:dyDescent="0.2">
      <c r="A15" s="2" t="s">
        <v>53</v>
      </c>
      <c r="B15" s="3">
        <v>123.10000000000001</v>
      </c>
      <c r="D15" s="2" t="s">
        <v>14</v>
      </c>
      <c r="E15" s="3">
        <v>406</v>
      </c>
    </row>
    <row r="16" spans="1:5" x14ac:dyDescent="0.2">
      <c r="A16" s="2" t="s">
        <v>141</v>
      </c>
      <c r="B16" s="3">
        <v>111</v>
      </c>
      <c r="D16" s="2" t="s">
        <v>43</v>
      </c>
      <c r="E16" s="3">
        <v>756.2</v>
      </c>
    </row>
    <row r="17" spans="1:12" x14ac:dyDescent="0.2">
      <c r="A17" s="2" t="s">
        <v>77</v>
      </c>
      <c r="B17" s="3">
        <v>97.4</v>
      </c>
      <c r="D17" s="2" t="s">
        <v>34</v>
      </c>
      <c r="E17" s="3">
        <v>438.90000000000003</v>
      </c>
    </row>
    <row r="18" spans="1:12" x14ac:dyDescent="0.2">
      <c r="A18" s="2" t="s">
        <v>37</v>
      </c>
      <c r="B18" s="3">
        <v>96.399999999999991</v>
      </c>
      <c r="D18" s="2" t="s">
        <v>25</v>
      </c>
      <c r="E18" s="3">
        <v>672.3</v>
      </c>
    </row>
    <row r="19" spans="1:12" x14ac:dyDescent="0.2">
      <c r="A19" s="2" t="s">
        <v>70</v>
      </c>
      <c r="B19" s="3">
        <v>88.6</v>
      </c>
      <c r="D19" s="2" t="s">
        <v>21</v>
      </c>
      <c r="E19" s="3">
        <v>1137.5</v>
      </c>
    </row>
    <row r="20" spans="1:12" x14ac:dyDescent="0.2">
      <c r="A20" s="2" t="s">
        <v>69</v>
      </c>
      <c r="B20" s="3">
        <v>85.699999999999989</v>
      </c>
      <c r="D20" s="2" t="s">
        <v>17</v>
      </c>
      <c r="E20" s="3">
        <v>542.5</v>
      </c>
    </row>
    <row r="21" spans="1:12" x14ac:dyDescent="0.2">
      <c r="A21" s="2" t="s">
        <v>99</v>
      </c>
      <c r="B21" s="3">
        <v>85.5</v>
      </c>
      <c r="D21" s="2" t="s">
        <v>10</v>
      </c>
      <c r="E21" s="3">
        <v>764.8000000000003</v>
      </c>
    </row>
    <row r="22" spans="1:12" x14ac:dyDescent="0.2">
      <c r="A22" s="2" t="s">
        <v>27</v>
      </c>
      <c r="B22" s="3">
        <v>82.699999999999989</v>
      </c>
      <c r="D22" s="2" t="s">
        <v>29</v>
      </c>
      <c r="E22" s="3">
        <v>974.40000000000009</v>
      </c>
    </row>
    <row r="23" spans="1:12" x14ac:dyDescent="0.2">
      <c r="A23" s="2" t="s">
        <v>16</v>
      </c>
      <c r="B23" s="3">
        <v>82.2</v>
      </c>
      <c r="D23" s="2" t="s">
        <v>47</v>
      </c>
      <c r="E23" s="3">
        <v>479.99999999999983</v>
      </c>
    </row>
    <row r="24" spans="1:12" x14ac:dyDescent="0.2">
      <c r="A24" s="2" t="s">
        <v>40</v>
      </c>
      <c r="B24" s="3">
        <v>80.699999999999989</v>
      </c>
      <c r="D24" s="2" t="s">
        <v>203</v>
      </c>
      <c r="E24" s="3">
        <v>6799.6</v>
      </c>
    </row>
    <row r="25" spans="1:12" x14ac:dyDescent="0.2">
      <c r="A25" s="2" t="s">
        <v>134</v>
      </c>
      <c r="B25" s="3">
        <v>77.800000000000011</v>
      </c>
    </row>
    <row r="26" spans="1:12" x14ac:dyDescent="0.2">
      <c r="A26" s="2" t="s">
        <v>100</v>
      </c>
      <c r="B26" s="3">
        <v>76.599999999999994</v>
      </c>
    </row>
    <row r="27" spans="1:12" x14ac:dyDescent="0.2">
      <c r="A27" s="2" t="s">
        <v>106</v>
      </c>
      <c r="B27" s="3">
        <v>76.400000000000006</v>
      </c>
    </row>
    <row r="28" spans="1:12" x14ac:dyDescent="0.2">
      <c r="A28" s="2" t="s">
        <v>85</v>
      </c>
      <c r="B28" s="3">
        <v>74.600000000000009</v>
      </c>
    </row>
    <row r="29" spans="1:12" x14ac:dyDescent="0.2">
      <c r="A29" s="2" t="s">
        <v>117</v>
      </c>
      <c r="B29" s="3">
        <v>74</v>
      </c>
    </row>
    <row r="30" spans="1:12" x14ac:dyDescent="0.2">
      <c r="A30" s="2" t="s">
        <v>139</v>
      </c>
      <c r="B30" s="3">
        <v>74</v>
      </c>
      <c r="L30" t="s">
        <v>209</v>
      </c>
    </row>
    <row r="31" spans="1:12" x14ac:dyDescent="0.2">
      <c r="A31" s="2" t="s">
        <v>81</v>
      </c>
      <c r="B31" s="3">
        <v>73.5</v>
      </c>
    </row>
    <row r="32" spans="1:12" x14ac:dyDescent="0.2">
      <c r="A32" s="2" t="s">
        <v>88</v>
      </c>
      <c r="B32" s="3">
        <v>72.400000000000006</v>
      </c>
    </row>
    <row r="33" spans="1:2" x14ac:dyDescent="0.2">
      <c r="A33" s="2" t="s">
        <v>93</v>
      </c>
      <c r="B33" s="3">
        <v>72.400000000000006</v>
      </c>
    </row>
    <row r="34" spans="1:2" x14ac:dyDescent="0.2">
      <c r="A34" s="2" t="s">
        <v>155</v>
      </c>
      <c r="B34" s="3">
        <v>70.599999999999994</v>
      </c>
    </row>
    <row r="35" spans="1:2" x14ac:dyDescent="0.2">
      <c r="A35" s="2" t="s">
        <v>8</v>
      </c>
      <c r="B35" s="3">
        <v>69.300000000000011</v>
      </c>
    </row>
    <row r="36" spans="1:2" x14ac:dyDescent="0.2">
      <c r="A36" s="2" t="s">
        <v>79</v>
      </c>
      <c r="B36" s="3">
        <v>68.600000000000009</v>
      </c>
    </row>
    <row r="37" spans="1:2" x14ac:dyDescent="0.2">
      <c r="A37" s="2" t="s">
        <v>118</v>
      </c>
      <c r="B37" s="3">
        <v>68.5</v>
      </c>
    </row>
    <row r="38" spans="1:2" x14ac:dyDescent="0.2">
      <c r="A38" s="2" t="s">
        <v>74</v>
      </c>
      <c r="B38" s="3">
        <v>66.900000000000006</v>
      </c>
    </row>
    <row r="39" spans="1:2" x14ac:dyDescent="0.2">
      <c r="A39" s="2" t="s">
        <v>164</v>
      </c>
      <c r="B39" s="3">
        <v>66</v>
      </c>
    </row>
    <row r="40" spans="1:2" x14ac:dyDescent="0.2">
      <c r="A40" s="2" t="s">
        <v>121</v>
      </c>
      <c r="B40" s="3">
        <v>65.8</v>
      </c>
    </row>
    <row r="41" spans="1:2" x14ac:dyDescent="0.2">
      <c r="A41" s="2" t="s">
        <v>162</v>
      </c>
      <c r="B41" s="3">
        <v>65.7</v>
      </c>
    </row>
    <row r="42" spans="1:2" x14ac:dyDescent="0.2">
      <c r="A42" s="2" t="s">
        <v>177</v>
      </c>
      <c r="B42" s="3">
        <v>65.099999999999994</v>
      </c>
    </row>
    <row r="43" spans="1:2" x14ac:dyDescent="0.2">
      <c r="A43" s="2" t="s">
        <v>35</v>
      </c>
      <c r="B43" s="3">
        <v>63.6</v>
      </c>
    </row>
    <row r="44" spans="1:2" x14ac:dyDescent="0.2">
      <c r="A44" s="2" t="s">
        <v>176</v>
      </c>
      <c r="B44" s="3">
        <v>62.6</v>
      </c>
    </row>
    <row r="45" spans="1:2" x14ac:dyDescent="0.2">
      <c r="A45" s="2" t="s">
        <v>142</v>
      </c>
      <c r="B45" s="3">
        <v>62.3</v>
      </c>
    </row>
    <row r="46" spans="1:2" x14ac:dyDescent="0.2">
      <c r="A46" s="2" t="s">
        <v>60</v>
      </c>
      <c r="B46" s="3">
        <v>61.800000000000004</v>
      </c>
    </row>
    <row r="47" spans="1:2" x14ac:dyDescent="0.2">
      <c r="A47" s="2" t="s">
        <v>72</v>
      </c>
      <c r="B47" s="3">
        <v>60.2</v>
      </c>
    </row>
    <row r="48" spans="1:2" x14ac:dyDescent="0.2">
      <c r="A48" s="2" t="s">
        <v>86</v>
      </c>
      <c r="B48" s="3">
        <v>59.1</v>
      </c>
    </row>
    <row r="49" spans="1:2" x14ac:dyDescent="0.2">
      <c r="A49" s="2" t="s">
        <v>153</v>
      </c>
      <c r="B49" s="3">
        <v>59.1</v>
      </c>
    </row>
    <row r="50" spans="1:2" x14ac:dyDescent="0.2">
      <c r="A50" s="2" t="s">
        <v>61</v>
      </c>
      <c r="B50" s="3">
        <v>59.099999999999994</v>
      </c>
    </row>
    <row r="51" spans="1:2" x14ac:dyDescent="0.2">
      <c r="A51" s="2" t="s">
        <v>111</v>
      </c>
      <c r="B51" s="3">
        <v>58.6</v>
      </c>
    </row>
    <row r="52" spans="1:2" x14ac:dyDescent="0.2">
      <c r="A52" s="2" t="s">
        <v>65</v>
      </c>
      <c r="B52" s="3">
        <v>58.4</v>
      </c>
    </row>
    <row r="53" spans="1:2" x14ac:dyDescent="0.2">
      <c r="A53" s="2" t="s">
        <v>119</v>
      </c>
      <c r="B53" s="3">
        <v>54.8</v>
      </c>
    </row>
    <row r="54" spans="1:2" x14ac:dyDescent="0.2">
      <c r="A54" s="2" t="s">
        <v>49</v>
      </c>
      <c r="B54" s="3">
        <v>54.5</v>
      </c>
    </row>
    <row r="55" spans="1:2" x14ac:dyDescent="0.2">
      <c r="A55" s="2" t="s">
        <v>166</v>
      </c>
      <c r="B55" s="3">
        <v>54</v>
      </c>
    </row>
    <row r="56" spans="1:2" x14ac:dyDescent="0.2">
      <c r="A56" s="2" t="s">
        <v>158</v>
      </c>
      <c r="B56" s="3">
        <v>53.5</v>
      </c>
    </row>
    <row r="57" spans="1:2" x14ac:dyDescent="0.2">
      <c r="A57" s="2" t="s">
        <v>73</v>
      </c>
      <c r="B57" s="3">
        <v>53.400000000000006</v>
      </c>
    </row>
    <row r="58" spans="1:2" x14ac:dyDescent="0.2">
      <c r="A58" s="2" t="s">
        <v>137</v>
      </c>
      <c r="B58" s="3">
        <v>53.3</v>
      </c>
    </row>
    <row r="59" spans="1:2" x14ac:dyDescent="0.2">
      <c r="A59" s="2" t="s">
        <v>108</v>
      </c>
      <c r="B59" s="3">
        <v>52.3</v>
      </c>
    </row>
    <row r="60" spans="1:2" x14ac:dyDescent="0.2">
      <c r="A60" s="2" t="s">
        <v>136</v>
      </c>
      <c r="B60" s="3">
        <v>50.7</v>
      </c>
    </row>
    <row r="61" spans="1:2" x14ac:dyDescent="0.2">
      <c r="A61" s="2" t="s">
        <v>36</v>
      </c>
      <c r="B61" s="3">
        <v>50.300000000000004</v>
      </c>
    </row>
    <row r="62" spans="1:2" x14ac:dyDescent="0.2">
      <c r="A62" s="2" t="s">
        <v>89</v>
      </c>
      <c r="B62" s="3">
        <v>48.9</v>
      </c>
    </row>
    <row r="63" spans="1:2" x14ac:dyDescent="0.2">
      <c r="A63" s="2" t="s">
        <v>156</v>
      </c>
      <c r="B63" s="3">
        <v>48.5</v>
      </c>
    </row>
    <row r="64" spans="1:2" x14ac:dyDescent="0.2">
      <c r="A64" s="2" t="s">
        <v>123</v>
      </c>
      <c r="B64" s="3">
        <v>48.1</v>
      </c>
    </row>
    <row r="65" spans="1:2" x14ac:dyDescent="0.2">
      <c r="A65" s="2" t="s">
        <v>12</v>
      </c>
      <c r="B65" s="3">
        <v>47.9</v>
      </c>
    </row>
    <row r="66" spans="1:2" x14ac:dyDescent="0.2">
      <c r="A66" s="2" t="s">
        <v>102</v>
      </c>
      <c r="B66" s="3">
        <v>46.199999999999996</v>
      </c>
    </row>
    <row r="67" spans="1:2" x14ac:dyDescent="0.2">
      <c r="A67" s="2" t="s">
        <v>50</v>
      </c>
      <c r="B67" s="3">
        <v>46</v>
      </c>
    </row>
    <row r="68" spans="1:2" x14ac:dyDescent="0.2">
      <c r="A68" s="2" t="s">
        <v>109</v>
      </c>
      <c r="B68" s="3">
        <v>45</v>
      </c>
    </row>
    <row r="69" spans="1:2" x14ac:dyDescent="0.2">
      <c r="A69" s="2" t="s">
        <v>41</v>
      </c>
      <c r="B69" s="3">
        <v>44.8</v>
      </c>
    </row>
    <row r="70" spans="1:2" x14ac:dyDescent="0.2">
      <c r="A70" s="2" t="s">
        <v>132</v>
      </c>
      <c r="B70" s="3">
        <v>43.8</v>
      </c>
    </row>
    <row r="71" spans="1:2" x14ac:dyDescent="0.2">
      <c r="A71" s="2" t="s">
        <v>186</v>
      </c>
      <c r="B71" s="3">
        <v>42.9</v>
      </c>
    </row>
    <row r="72" spans="1:2" x14ac:dyDescent="0.2">
      <c r="A72" s="2" t="s">
        <v>107</v>
      </c>
      <c r="B72" s="3">
        <v>42.4</v>
      </c>
    </row>
    <row r="73" spans="1:2" x14ac:dyDescent="0.2">
      <c r="A73" s="2" t="s">
        <v>98</v>
      </c>
      <c r="B73" s="3">
        <v>41.4</v>
      </c>
    </row>
    <row r="74" spans="1:2" x14ac:dyDescent="0.2">
      <c r="A74" s="2" t="s">
        <v>97</v>
      </c>
      <c r="B74" s="3">
        <v>41</v>
      </c>
    </row>
    <row r="75" spans="1:2" x14ac:dyDescent="0.2">
      <c r="A75" s="2" t="s">
        <v>159</v>
      </c>
      <c r="B75" s="3">
        <v>40.9</v>
      </c>
    </row>
    <row r="76" spans="1:2" x14ac:dyDescent="0.2">
      <c r="A76" s="2" t="s">
        <v>126</v>
      </c>
      <c r="B76" s="3">
        <v>40.299999999999997</v>
      </c>
    </row>
    <row r="77" spans="1:2" x14ac:dyDescent="0.2">
      <c r="A77" s="2" t="s">
        <v>66</v>
      </c>
      <c r="B77" s="3">
        <v>40.299999999999997</v>
      </c>
    </row>
    <row r="78" spans="1:2" x14ac:dyDescent="0.2">
      <c r="A78" s="2" t="s">
        <v>87</v>
      </c>
      <c r="B78" s="3">
        <v>40.200000000000003</v>
      </c>
    </row>
    <row r="79" spans="1:2" x14ac:dyDescent="0.2">
      <c r="A79" s="2" t="s">
        <v>48</v>
      </c>
      <c r="B79" s="3">
        <v>40.1</v>
      </c>
    </row>
    <row r="80" spans="1:2" x14ac:dyDescent="0.2">
      <c r="A80" s="2" t="s">
        <v>105</v>
      </c>
      <c r="B80" s="3">
        <v>39.799999999999997</v>
      </c>
    </row>
    <row r="81" spans="1:2" x14ac:dyDescent="0.2">
      <c r="A81" s="2" t="s">
        <v>62</v>
      </c>
      <c r="B81" s="3">
        <v>39.299999999999997</v>
      </c>
    </row>
    <row r="82" spans="1:2" x14ac:dyDescent="0.2">
      <c r="A82" s="2" t="s">
        <v>23</v>
      </c>
      <c r="B82" s="3">
        <v>39.200000000000003</v>
      </c>
    </row>
    <row r="83" spans="1:2" x14ac:dyDescent="0.2">
      <c r="A83" s="2" t="s">
        <v>170</v>
      </c>
      <c r="B83" s="3">
        <v>38.299999999999997</v>
      </c>
    </row>
    <row r="84" spans="1:2" x14ac:dyDescent="0.2">
      <c r="A84" s="2" t="s">
        <v>192</v>
      </c>
      <c r="B84" s="3">
        <v>37.799999999999997</v>
      </c>
    </row>
    <row r="85" spans="1:2" x14ac:dyDescent="0.2">
      <c r="A85" s="2" t="s">
        <v>172</v>
      </c>
      <c r="B85" s="3">
        <v>37</v>
      </c>
    </row>
    <row r="86" spans="1:2" x14ac:dyDescent="0.2">
      <c r="A86" s="2" t="s">
        <v>154</v>
      </c>
      <c r="B86" s="3">
        <v>36.5</v>
      </c>
    </row>
    <row r="87" spans="1:2" x14ac:dyDescent="0.2">
      <c r="A87" s="2" t="s">
        <v>120</v>
      </c>
      <c r="B87" s="3">
        <v>36</v>
      </c>
    </row>
    <row r="88" spans="1:2" x14ac:dyDescent="0.2">
      <c r="A88" s="2" t="s">
        <v>131</v>
      </c>
      <c r="B88" s="3">
        <v>35.799999999999997</v>
      </c>
    </row>
    <row r="89" spans="1:2" x14ac:dyDescent="0.2">
      <c r="A89" s="2" t="s">
        <v>116</v>
      </c>
      <c r="B89" s="3">
        <v>35.700000000000003</v>
      </c>
    </row>
    <row r="90" spans="1:2" x14ac:dyDescent="0.2">
      <c r="A90" s="2" t="s">
        <v>33</v>
      </c>
      <c r="B90" s="3">
        <v>35.5</v>
      </c>
    </row>
    <row r="91" spans="1:2" x14ac:dyDescent="0.2">
      <c r="A91" s="2" t="s">
        <v>52</v>
      </c>
      <c r="B91" s="3">
        <v>35.299999999999997</v>
      </c>
    </row>
    <row r="92" spans="1:2" x14ac:dyDescent="0.2">
      <c r="A92" s="2" t="s">
        <v>39</v>
      </c>
      <c r="B92" s="3">
        <v>34.799999999999997</v>
      </c>
    </row>
    <row r="93" spans="1:2" x14ac:dyDescent="0.2">
      <c r="A93" s="2" t="s">
        <v>145</v>
      </c>
      <c r="B93" s="3">
        <v>34.1</v>
      </c>
    </row>
    <row r="94" spans="1:2" x14ac:dyDescent="0.2">
      <c r="A94" s="2" t="s">
        <v>103</v>
      </c>
      <c r="B94" s="3">
        <v>34</v>
      </c>
    </row>
    <row r="95" spans="1:2" x14ac:dyDescent="0.2">
      <c r="A95" s="2" t="s">
        <v>167</v>
      </c>
      <c r="B95" s="3">
        <v>33.9</v>
      </c>
    </row>
    <row r="96" spans="1:2" x14ac:dyDescent="0.2">
      <c r="A96" s="2" t="s">
        <v>140</v>
      </c>
      <c r="B96" s="3">
        <v>33.6</v>
      </c>
    </row>
    <row r="97" spans="1:2" x14ac:dyDescent="0.2">
      <c r="A97" s="2" t="s">
        <v>124</v>
      </c>
      <c r="B97" s="3">
        <v>33.5</v>
      </c>
    </row>
    <row r="98" spans="1:2" x14ac:dyDescent="0.2">
      <c r="A98" s="2" t="s">
        <v>64</v>
      </c>
      <c r="B98" s="3">
        <v>33.200000000000003</v>
      </c>
    </row>
    <row r="99" spans="1:2" x14ac:dyDescent="0.2">
      <c r="A99" s="2" t="s">
        <v>193</v>
      </c>
      <c r="B99" s="3">
        <v>33.200000000000003</v>
      </c>
    </row>
    <row r="100" spans="1:2" x14ac:dyDescent="0.2">
      <c r="A100" s="2" t="s">
        <v>101</v>
      </c>
      <c r="B100" s="3">
        <v>33.200000000000003</v>
      </c>
    </row>
    <row r="101" spans="1:2" x14ac:dyDescent="0.2">
      <c r="A101" s="2" t="s">
        <v>138</v>
      </c>
      <c r="B101" s="3">
        <v>33.1</v>
      </c>
    </row>
    <row r="102" spans="1:2" x14ac:dyDescent="0.2">
      <c r="A102" s="2" t="s">
        <v>151</v>
      </c>
      <c r="B102" s="3">
        <v>33</v>
      </c>
    </row>
    <row r="103" spans="1:2" x14ac:dyDescent="0.2">
      <c r="A103" s="2" t="s">
        <v>44</v>
      </c>
      <c r="B103" s="3">
        <v>33</v>
      </c>
    </row>
    <row r="104" spans="1:2" x14ac:dyDescent="0.2">
      <c r="A104" s="2" t="s">
        <v>83</v>
      </c>
      <c r="B104" s="3">
        <v>32.5</v>
      </c>
    </row>
    <row r="105" spans="1:2" x14ac:dyDescent="0.2">
      <c r="A105" s="2" t="s">
        <v>71</v>
      </c>
      <c r="B105" s="3">
        <v>32.5</v>
      </c>
    </row>
    <row r="106" spans="1:2" x14ac:dyDescent="0.2">
      <c r="A106" s="2" t="s">
        <v>76</v>
      </c>
      <c r="B106" s="3">
        <v>32.200000000000003</v>
      </c>
    </row>
    <row r="107" spans="1:2" x14ac:dyDescent="0.2">
      <c r="A107" s="2" t="s">
        <v>54</v>
      </c>
      <c r="B107" s="3">
        <v>31.6</v>
      </c>
    </row>
    <row r="108" spans="1:2" x14ac:dyDescent="0.2">
      <c r="A108" s="2" t="s">
        <v>90</v>
      </c>
      <c r="B108" s="3">
        <v>31.4</v>
      </c>
    </row>
    <row r="109" spans="1:2" x14ac:dyDescent="0.2">
      <c r="A109" s="2" t="s">
        <v>56</v>
      </c>
      <c r="B109" s="3">
        <v>31.1</v>
      </c>
    </row>
    <row r="110" spans="1:2" x14ac:dyDescent="0.2">
      <c r="A110" s="2" t="s">
        <v>110</v>
      </c>
      <c r="B110" s="3">
        <v>31.1</v>
      </c>
    </row>
    <row r="111" spans="1:2" x14ac:dyDescent="0.2">
      <c r="A111" s="2" t="s">
        <v>133</v>
      </c>
      <c r="B111" s="3">
        <v>30.8</v>
      </c>
    </row>
    <row r="112" spans="1:2" x14ac:dyDescent="0.2">
      <c r="A112" s="2" t="s">
        <v>187</v>
      </c>
      <c r="B112" s="3">
        <v>30.7</v>
      </c>
    </row>
    <row r="113" spans="1:2" x14ac:dyDescent="0.2">
      <c r="A113" s="2" t="s">
        <v>169</v>
      </c>
      <c r="B113" s="3">
        <v>30.4</v>
      </c>
    </row>
    <row r="114" spans="1:2" x14ac:dyDescent="0.2">
      <c r="A114" s="2" t="s">
        <v>55</v>
      </c>
      <c r="B114" s="3">
        <v>29.799999999999997</v>
      </c>
    </row>
    <row r="115" spans="1:2" x14ac:dyDescent="0.2">
      <c r="A115" s="2" t="s">
        <v>165</v>
      </c>
      <c r="B115" s="3">
        <v>29.700000000000003</v>
      </c>
    </row>
    <row r="116" spans="1:2" x14ac:dyDescent="0.2">
      <c r="A116" s="2" t="s">
        <v>92</v>
      </c>
      <c r="B116" s="3">
        <v>29.700000000000003</v>
      </c>
    </row>
    <row r="117" spans="1:2" x14ac:dyDescent="0.2">
      <c r="A117" s="2" t="s">
        <v>94</v>
      </c>
      <c r="B117" s="3">
        <v>29.7</v>
      </c>
    </row>
    <row r="118" spans="1:2" x14ac:dyDescent="0.2">
      <c r="A118" s="2" t="s">
        <v>188</v>
      </c>
      <c r="B118" s="3">
        <v>29.7</v>
      </c>
    </row>
    <row r="119" spans="1:2" x14ac:dyDescent="0.2">
      <c r="A119" s="2" t="s">
        <v>42</v>
      </c>
      <c r="B119" s="3">
        <v>29.5</v>
      </c>
    </row>
    <row r="120" spans="1:2" x14ac:dyDescent="0.2">
      <c r="A120" s="2" t="s">
        <v>150</v>
      </c>
      <c r="B120" s="3">
        <v>29.200000000000003</v>
      </c>
    </row>
    <row r="121" spans="1:2" x14ac:dyDescent="0.2">
      <c r="A121" s="2" t="s">
        <v>59</v>
      </c>
      <c r="B121" s="3">
        <v>29</v>
      </c>
    </row>
    <row r="122" spans="1:2" x14ac:dyDescent="0.2">
      <c r="A122" s="2" t="s">
        <v>115</v>
      </c>
      <c r="B122" s="3">
        <v>28.6</v>
      </c>
    </row>
    <row r="123" spans="1:2" x14ac:dyDescent="0.2">
      <c r="A123" s="2" t="s">
        <v>161</v>
      </c>
      <c r="B123" s="3">
        <v>28.5</v>
      </c>
    </row>
    <row r="124" spans="1:2" x14ac:dyDescent="0.2">
      <c r="A124" s="2" t="s">
        <v>127</v>
      </c>
      <c r="B124" s="3">
        <v>27.4</v>
      </c>
    </row>
    <row r="125" spans="1:2" x14ac:dyDescent="0.2">
      <c r="A125" s="2" t="s">
        <v>196</v>
      </c>
      <c r="B125" s="3">
        <v>27.3</v>
      </c>
    </row>
    <row r="126" spans="1:2" x14ac:dyDescent="0.2">
      <c r="A126" s="2" t="s">
        <v>63</v>
      </c>
      <c r="B126" s="3">
        <v>27.1</v>
      </c>
    </row>
    <row r="127" spans="1:2" x14ac:dyDescent="0.2">
      <c r="A127" s="2" t="s">
        <v>114</v>
      </c>
      <c r="B127" s="3">
        <v>27</v>
      </c>
    </row>
    <row r="128" spans="1:2" x14ac:dyDescent="0.2">
      <c r="A128" s="2" t="s">
        <v>185</v>
      </c>
      <c r="B128" s="3">
        <v>27</v>
      </c>
    </row>
    <row r="129" spans="1:2" x14ac:dyDescent="0.2">
      <c r="A129" s="2" t="s">
        <v>82</v>
      </c>
      <c r="B129" s="3">
        <v>26.4</v>
      </c>
    </row>
    <row r="130" spans="1:2" x14ac:dyDescent="0.2">
      <c r="A130" s="2" t="s">
        <v>179</v>
      </c>
      <c r="B130" s="3">
        <v>26.2</v>
      </c>
    </row>
    <row r="131" spans="1:2" x14ac:dyDescent="0.2">
      <c r="A131" s="2" t="s">
        <v>198</v>
      </c>
      <c r="B131" s="3">
        <v>26</v>
      </c>
    </row>
    <row r="132" spans="1:2" x14ac:dyDescent="0.2">
      <c r="A132" s="2" t="s">
        <v>58</v>
      </c>
      <c r="B132" s="3">
        <v>25.9</v>
      </c>
    </row>
    <row r="133" spans="1:2" x14ac:dyDescent="0.2">
      <c r="A133" s="2" t="s">
        <v>175</v>
      </c>
      <c r="B133" s="3">
        <v>25.8</v>
      </c>
    </row>
    <row r="134" spans="1:2" x14ac:dyDescent="0.2">
      <c r="A134" s="2" t="s">
        <v>148</v>
      </c>
      <c r="B134" s="3">
        <v>25.4</v>
      </c>
    </row>
    <row r="135" spans="1:2" x14ac:dyDescent="0.2">
      <c r="A135" s="2" t="s">
        <v>91</v>
      </c>
      <c r="B135" s="3">
        <v>25.2</v>
      </c>
    </row>
    <row r="136" spans="1:2" x14ac:dyDescent="0.2">
      <c r="A136" s="2" t="s">
        <v>189</v>
      </c>
      <c r="B136" s="3">
        <v>24.599999999999998</v>
      </c>
    </row>
    <row r="137" spans="1:2" x14ac:dyDescent="0.2">
      <c r="A137" s="2" t="s">
        <v>75</v>
      </c>
      <c r="B137" s="3">
        <v>23.7</v>
      </c>
    </row>
    <row r="138" spans="1:2" x14ac:dyDescent="0.2">
      <c r="A138" s="2" t="s">
        <v>104</v>
      </c>
      <c r="B138" s="3">
        <v>23.6</v>
      </c>
    </row>
    <row r="139" spans="1:2" x14ac:dyDescent="0.2">
      <c r="A139" s="2" t="s">
        <v>144</v>
      </c>
      <c r="B139" s="3">
        <v>23.6</v>
      </c>
    </row>
    <row r="140" spans="1:2" x14ac:dyDescent="0.2">
      <c r="A140" s="2" t="s">
        <v>30</v>
      </c>
      <c r="B140" s="3">
        <v>23.5</v>
      </c>
    </row>
    <row r="141" spans="1:2" x14ac:dyDescent="0.2">
      <c r="A141" s="2" t="s">
        <v>174</v>
      </c>
      <c r="B141" s="3">
        <v>22.7</v>
      </c>
    </row>
    <row r="142" spans="1:2" x14ac:dyDescent="0.2">
      <c r="A142" s="2" t="s">
        <v>80</v>
      </c>
      <c r="B142" s="3">
        <v>22.6</v>
      </c>
    </row>
    <row r="143" spans="1:2" x14ac:dyDescent="0.2">
      <c r="A143" s="2" t="s">
        <v>157</v>
      </c>
      <c r="B143" s="3">
        <v>22.5</v>
      </c>
    </row>
    <row r="144" spans="1:2" x14ac:dyDescent="0.2">
      <c r="A144" s="2" t="s">
        <v>84</v>
      </c>
      <c r="B144" s="3">
        <v>22.4</v>
      </c>
    </row>
    <row r="145" spans="1:2" x14ac:dyDescent="0.2">
      <c r="A145" s="2" t="s">
        <v>96</v>
      </c>
      <c r="B145" s="3">
        <v>22</v>
      </c>
    </row>
    <row r="146" spans="1:2" x14ac:dyDescent="0.2">
      <c r="A146" s="2" t="s">
        <v>152</v>
      </c>
      <c r="B146" s="3">
        <v>22</v>
      </c>
    </row>
    <row r="147" spans="1:2" x14ac:dyDescent="0.2">
      <c r="A147" s="2" t="s">
        <v>38</v>
      </c>
      <c r="B147" s="3">
        <v>21.6</v>
      </c>
    </row>
    <row r="148" spans="1:2" x14ac:dyDescent="0.2">
      <c r="A148" s="2" t="s">
        <v>113</v>
      </c>
      <c r="B148" s="3">
        <v>21.3</v>
      </c>
    </row>
    <row r="149" spans="1:2" x14ac:dyDescent="0.2">
      <c r="A149" s="2" t="s">
        <v>171</v>
      </c>
      <c r="B149" s="3">
        <v>21.1</v>
      </c>
    </row>
    <row r="150" spans="1:2" x14ac:dyDescent="0.2">
      <c r="A150" s="2" t="s">
        <v>128</v>
      </c>
      <c r="B150" s="3">
        <v>21</v>
      </c>
    </row>
    <row r="151" spans="1:2" x14ac:dyDescent="0.2">
      <c r="A151" s="2" t="s">
        <v>78</v>
      </c>
      <c r="B151" s="3">
        <v>21</v>
      </c>
    </row>
    <row r="152" spans="1:2" x14ac:dyDescent="0.2">
      <c r="A152" s="2" t="s">
        <v>45</v>
      </c>
      <c r="B152" s="3">
        <v>20.2</v>
      </c>
    </row>
    <row r="153" spans="1:2" x14ac:dyDescent="0.2">
      <c r="A153" s="2" t="s">
        <v>147</v>
      </c>
      <c r="B153" s="3">
        <v>20.100000000000001</v>
      </c>
    </row>
    <row r="154" spans="1:2" x14ac:dyDescent="0.2">
      <c r="A154" s="2" t="s">
        <v>168</v>
      </c>
      <c r="B154" s="3">
        <v>19.7</v>
      </c>
    </row>
    <row r="155" spans="1:2" x14ac:dyDescent="0.2">
      <c r="A155" s="2" t="s">
        <v>68</v>
      </c>
      <c r="B155" s="3">
        <v>19</v>
      </c>
    </row>
    <row r="156" spans="1:2" x14ac:dyDescent="0.2">
      <c r="A156" s="2" t="s">
        <v>163</v>
      </c>
      <c r="B156" s="3">
        <v>18.600000000000001</v>
      </c>
    </row>
    <row r="157" spans="1:2" x14ac:dyDescent="0.2">
      <c r="A157" s="2" t="s">
        <v>183</v>
      </c>
      <c r="B157" s="3">
        <v>18.399999999999999</v>
      </c>
    </row>
    <row r="158" spans="1:2" x14ac:dyDescent="0.2">
      <c r="A158" s="2" t="s">
        <v>182</v>
      </c>
      <c r="B158" s="3">
        <v>18.399999999999999</v>
      </c>
    </row>
    <row r="159" spans="1:2" x14ac:dyDescent="0.2">
      <c r="A159" s="2" t="s">
        <v>129</v>
      </c>
      <c r="B159" s="3">
        <v>18</v>
      </c>
    </row>
    <row r="160" spans="1:2" x14ac:dyDescent="0.2">
      <c r="A160" s="2" t="s">
        <v>95</v>
      </c>
      <c r="B160" s="3">
        <v>17.600000000000001</v>
      </c>
    </row>
    <row r="161" spans="1:2" x14ac:dyDescent="0.2">
      <c r="A161" s="2" t="s">
        <v>173</v>
      </c>
      <c r="B161" s="3">
        <v>17.599999999999998</v>
      </c>
    </row>
    <row r="162" spans="1:2" x14ac:dyDescent="0.2">
      <c r="A162" s="2" t="s">
        <v>194</v>
      </c>
      <c r="B162" s="3">
        <v>16.8</v>
      </c>
    </row>
    <row r="163" spans="1:2" x14ac:dyDescent="0.2">
      <c r="A163" s="2" t="s">
        <v>122</v>
      </c>
      <c r="B163" s="3">
        <v>16.2</v>
      </c>
    </row>
    <row r="164" spans="1:2" x14ac:dyDescent="0.2">
      <c r="A164" s="2" t="s">
        <v>57</v>
      </c>
      <c r="B164" s="3">
        <v>15.5</v>
      </c>
    </row>
    <row r="165" spans="1:2" x14ac:dyDescent="0.2">
      <c r="A165" s="2" t="s">
        <v>197</v>
      </c>
      <c r="B165" s="3">
        <v>15.2</v>
      </c>
    </row>
    <row r="166" spans="1:2" x14ac:dyDescent="0.2">
      <c r="A166" s="2" t="s">
        <v>143</v>
      </c>
      <c r="B166" s="3">
        <v>15</v>
      </c>
    </row>
    <row r="167" spans="1:2" x14ac:dyDescent="0.2">
      <c r="A167" s="2" t="s">
        <v>160</v>
      </c>
      <c r="B167" s="3">
        <v>15</v>
      </c>
    </row>
    <row r="168" spans="1:2" x14ac:dyDescent="0.2">
      <c r="A168" s="2" t="s">
        <v>20</v>
      </c>
      <c r="B168" s="3">
        <v>13</v>
      </c>
    </row>
    <row r="169" spans="1:2" x14ac:dyDescent="0.2">
      <c r="A169" s="2" t="s">
        <v>51</v>
      </c>
      <c r="B169" s="3">
        <v>12.8</v>
      </c>
    </row>
    <row r="170" spans="1:2" x14ac:dyDescent="0.2">
      <c r="A170" s="2" t="s">
        <v>130</v>
      </c>
      <c r="B170" s="3">
        <v>12.6</v>
      </c>
    </row>
    <row r="171" spans="1:2" x14ac:dyDescent="0.2">
      <c r="A171" s="2" t="s">
        <v>200</v>
      </c>
      <c r="B171" s="3">
        <v>12</v>
      </c>
    </row>
    <row r="172" spans="1:2" x14ac:dyDescent="0.2">
      <c r="A172" s="2" t="s">
        <v>149</v>
      </c>
      <c r="B172" s="3">
        <v>12</v>
      </c>
    </row>
    <row r="173" spans="1:2" x14ac:dyDescent="0.2">
      <c r="A173" s="2" t="s">
        <v>19</v>
      </c>
      <c r="B173" s="3">
        <v>10.4</v>
      </c>
    </row>
    <row r="174" spans="1:2" x14ac:dyDescent="0.2">
      <c r="A174" s="2" t="s">
        <v>178</v>
      </c>
      <c r="B174" s="3">
        <v>10.3</v>
      </c>
    </row>
    <row r="175" spans="1:2" x14ac:dyDescent="0.2">
      <c r="A175" s="2" t="s">
        <v>112</v>
      </c>
      <c r="B175" s="3">
        <v>9.1999999999999993</v>
      </c>
    </row>
    <row r="176" spans="1:2" x14ac:dyDescent="0.2">
      <c r="A176" s="2" t="s">
        <v>201</v>
      </c>
      <c r="B176" s="3">
        <v>8.4</v>
      </c>
    </row>
    <row r="177" spans="1:2" x14ac:dyDescent="0.2">
      <c r="A177" s="2" t="s">
        <v>195</v>
      </c>
      <c r="B177" s="3">
        <v>8</v>
      </c>
    </row>
    <row r="178" spans="1:2" x14ac:dyDescent="0.2">
      <c r="A178" s="2" t="s">
        <v>46</v>
      </c>
      <c r="B178" s="3">
        <v>7.2</v>
      </c>
    </row>
    <row r="179" spans="1:2" x14ac:dyDescent="0.2">
      <c r="A179" s="2" t="s">
        <v>190</v>
      </c>
      <c r="B179" s="3">
        <v>6.6</v>
      </c>
    </row>
    <row r="180" spans="1:2" x14ac:dyDescent="0.2">
      <c r="A180" s="2" t="s">
        <v>191</v>
      </c>
      <c r="B180" s="3">
        <v>6.5</v>
      </c>
    </row>
    <row r="181" spans="1:2" x14ac:dyDescent="0.2">
      <c r="A181" s="2" t="s">
        <v>181</v>
      </c>
      <c r="B181" s="3">
        <v>6.4</v>
      </c>
    </row>
    <row r="182" spans="1:2" x14ac:dyDescent="0.2">
      <c r="A182" s="2" t="s">
        <v>184</v>
      </c>
      <c r="B182" s="3">
        <v>6.3</v>
      </c>
    </row>
    <row r="183" spans="1:2" x14ac:dyDescent="0.2">
      <c r="A183" s="2" t="s">
        <v>125</v>
      </c>
      <c r="B183" s="3">
        <v>6</v>
      </c>
    </row>
    <row r="184" spans="1:2" x14ac:dyDescent="0.2">
      <c r="A184" s="2" t="s">
        <v>199</v>
      </c>
      <c r="B184" s="3">
        <v>6</v>
      </c>
    </row>
    <row r="185" spans="1:2" x14ac:dyDescent="0.2">
      <c r="A185" s="2" t="s">
        <v>135</v>
      </c>
      <c r="B185" s="3">
        <v>4.8</v>
      </c>
    </row>
    <row r="186" spans="1:2" x14ac:dyDescent="0.2">
      <c r="A186" s="2" t="s">
        <v>146</v>
      </c>
      <c r="B186" s="3">
        <v>3.8</v>
      </c>
    </row>
    <row r="187" spans="1:2" x14ac:dyDescent="0.2">
      <c r="A187" s="2" t="s">
        <v>67</v>
      </c>
      <c r="B187" s="3">
        <v>2.5</v>
      </c>
    </row>
    <row r="188" spans="1:2" x14ac:dyDescent="0.2">
      <c r="A188" s="2" t="s">
        <v>180</v>
      </c>
      <c r="B188" s="3">
        <v>2</v>
      </c>
    </row>
    <row r="189" spans="1:2" x14ac:dyDescent="0.2">
      <c r="A189" s="2" t="s">
        <v>203</v>
      </c>
      <c r="B189" s="3">
        <v>6799.6</v>
      </c>
    </row>
    <row r="192" spans="1:2" x14ac:dyDescent="0.2">
      <c r="A192" s="2"/>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E1BA-F9DD-AC43-87E5-4B8EFC4E7941}">
  <dimension ref="A2:D15"/>
  <sheetViews>
    <sheetView tabSelected="1" zoomScale="75" workbookViewId="0">
      <selection activeCell="I7" sqref="I7"/>
    </sheetView>
  </sheetViews>
  <sheetFormatPr baseColWidth="10" defaultRowHeight="15" x14ac:dyDescent="0.2"/>
  <cols>
    <col min="1" max="1" width="22.33203125" customWidth="1"/>
    <col min="2" max="2" width="17.5" customWidth="1"/>
    <col min="3" max="3" width="24" customWidth="1"/>
    <col min="4" max="4" width="22.5" customWidth="1"/>
  </cols>
  <sheetData>
    <row r="2" spans="1:4" x14ac:dyDescent="0.2">
      <c r="A2" s="5" t="s">
        <v>211</v>
      </c>
      <c r="B2" s="5" t="s">
        <v>212</v>
      </c>
      <c r="C2" s="5" t="s">
        <v>214</v>
      </c>
      <c r="D2" s="5" t="s">
        <v>216</v>
      </c>
    </row>
    <row r="3" spans="1:4" x14ac:dyDescent="0.2">
      <c r="A3" t="s">
        <v>210</v>
      </c>
      <c r="B3" t="s">
        <v>213</v>
      </c>
      <c r="C3" t="s">
        <v>215</v>
      </c>
      <c r="D3" t="s">
        <v>217</v>
      </c>
    </row>
    <row r="4" spans="1:4" x14ac:dyDescent="0.2">
      <c r="A4" s="4">
        <f>SUM(grocery_data[Revenue])</f>
        <v>6799.6000000000013</v>
      </c>
      <c r="B4">
        <f>COUNTA(grocery_data[Order_ID])</f>
        <v>600</v>
      </c>
      <c r="C4">
        <f>AVERAGE(grocery_data[Revenue])</f>
        <v>11.332666666666668</v>
      </c>
      <c r="D4">
        <f>SUM(grocery_data[Quantity])</f>
        <v>2132</v>
      </c>
    </row>
    <row r="6" spans="1:4" x14ac:dyDescent="0.2">
      <c r="A6" s="5"/>
    </row>
    <row r="7" spans="1:4" ht="29" x14ac:dyDescent="0.35">
      <c r="A7" s="6" t="s">
        <v>218</v>
      </c>
    </row>
    <row r="10" spans="1:4" x14ac:dyDescent="0.2">
      <c r="A10" s="5"/>
    </row>
    <row r="15" spans="1:4" x14ac:dyDescent="0.2">
      <c r="A15" s="5"/>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(20090650) Karen Ogiugo</cp:lastModifiedBy>
  <dcterms:created xsi:type="dcterms:W3CDTF">2026-03-10T12:49:33Z</dcterms:created>
  <dcterms:modified xsi:type="dcterms:W3CDTF">2026-03-10T16:39:39Z</dcterms:modified>
</cp:coreProperties>
</file>